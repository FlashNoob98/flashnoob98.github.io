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ir\OneDrive\Desktop\"/>
    </mc:Choice>
  </mc:AlternateContent>
  <xr:revisionPtr revIDLastSave="0" documentId="13_ncr:1_{72783689-69E4-43A3-839B-A89CA0E6FF20}" xr6:coauthVersionLast="47" xr6:coauthVersionMax="47" xr10:uidLastSave="{00000000-0000-0000-0000-000000000000}"/>
  <bookViews>
    <workbookView xWindow="-108" yWindow="-108" windowWidth="23256" windowHeight="12456" xr2:uid="{D651C7AC-B332-436E-B597-4C0C4B6481C5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86" i="1" l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Z77" i="1"/>
  <c r="Z82" i="1" s="1"/>
  <c r="Y77" i="1"/>
  <c r="Y82" i="1" s="1"/>
  <c r="X77" i="1"/>
  <c r="X82" i="1" s="1"/>
  <c r="W77" i="1"/>
  <c r="W82" i="1" s="1"/>
  <c r="V77" i="1"/>
  <c r="V82" i="1" s="1"/>
  <c r="U77" i="1"/>
  <c r="U82" i="1" s="1"/>
  <c r="T77" i="1"/>
  <c r="T82" i="1" s="1"/>
  <c r="S77" i="1"/>
  <c r="S82" i="1" s="1"/>
  <c r="R77" i="1"/>
  <c r="R82" i="1" s="1"/>
  <c r="Q77" i="1"/>
  <c r="Q82" i="1" s="1"/>
  <c r="P77" i="1"/>
  <c r="P82" i="1" s="1"/>
  <c r="O77" i="1"/>
  <c r="O82" i="1" s="1"/>
  <c r="N77" i="1"/>
  <c r="N82" i="1" s="1"/>
  <c r="M77" i="1"/>
  <c r="M82" i="1" s="1"/>
  <c r="L77" i="1"/>
  <c r="L82" i="1" s="1"/>
  <c r="K77" i="1"/>
  <c r="K82" i="1" s="1"/>
  <c r="J77" i="1"/>
  <c r="J82" i="1" s="1"/>
  <c r="I77" i="1"/>
  <c r="I82" i="1" s="1"/>
  <c r="H77" i="1"/>
  <c r="H82" i="1" s="1"/>
  <c r="G77" i="1"/>
  <c r="G82" i="1" s="1"/>
  <c r="F77" i="1"/>
  <c r="F82" i="1" s="1"/>
  <c r="E77" i="1"/>
  <c r="E82" i="1" s="1"/>
  <c r="D77" i="1"/>
  <c r="D82" i="1" s="1"/>
  <c r="C77" i="1"/>
  <c r="C82" i="1" s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N51" i="1"/>
  <c r="N50" i="1"/>
  <c r="N49" i="1"/>
  <c r="N48" i="1"/>
  <c r="N42" i="1"/>
  <c r="N47" i="1" s="1"/>
  <c r="N35" i="1"/>
  <c r="M51" i="1"/>
  <c r="M50" i="1"/>
  <c r="M49" i="1"/>
  <c r="M48" i="1"/>
  <c r="M42" i="1"/>
  <c r="M47" i="1" s="1"/>
  <c r="M35" i="1"/>
  <c r="L51" i="1"/>
  <c r="L50" i="1"/>
  <c r="L49" i="1"/>
  <c r="L48" i="1"/>
  <c r="L42" i="1"/>
  <c r="L47" i="1" s="1"/>
  <c r="L35" i="1"/>
  <c r="K51" i="1"/>
  <c r="K50" i="1"/>
  <c r="K49" i="1"/>
  <c r="K48" i="1"/>
  <c r="K42" i="1"/>
  <c r="K47" i="1" s="1"/>
  <c r="K35" i="1"/>
  <c r="J51" i="1"/>
  <c r="J50" i="1"/>
  <c r="J49" i="1"/>
  <c r="J48" i="1"/>
  <c r="J42" i="1"/>
  <c r="J47" i="1" s="1"/>
  <c r="J35" i="1"/>
  <c r="U19" i="1"/>
  <c r="U18" i="1"/>
  <c r="U17" i="1"/>
  <c r="U16" i="1"/>
  <c r="U10" i="1"/>
  <c r="U15" i="1" s="1"/>
  <c r="U3" i="1"/>
  <c r="I51" i="1"/>
  <c r="I50" i="1"/>
  <c r="I49" i="1"/>
  <c r="I48" i="1"/>
  <c r="I42" i="1"/>
  <c r="I47" i="1" s="1"/>
  <c r="I35" i="1"/>
  <c r="H51" i="1"/>
  <c r="H50" i="1"/>
  <c r="H49" i="1"/>
  <c r="H48" i="1"/>
  <c r="H42" i="1"/>
  <c r="H47" i="1" s="1"/>
  <c r="H35" i="1"/>
  <c r="G51" i="1"/>
  <c r="G50" i="1"/>
  <c r="G49" i="1"/>
  <c r="G48" i="1"/>
  <c r="G42" i="1"/>
  <c r="G47" i="1" s="1"/>
  <c r="G35" i="1"/>
  <c r="F51" i="1"/>
  <c r="F50" i="1"/>
  <c r="F49" i="1"/>
  <c r="F48" i="1"/>
  <c r="F42" i="1"/>
  <c r="F47" i="1" s="1"/>
  <c r="F35" i="1"/>
  <c r="E51" i="1"/>
  <c r="E50" i="1"/>
  <c r="E49" i="1"/>
  <c r="E48" i="1"/>
  <c r="E42" i="1"/>
  <c r="E47" i="1" s="1"/>
  <c r="E35" i="1"/>
  <c r="D51" i="1"/>
  <c r="D50" i="1"/>
  <c r="D49" i="1"/>
  <c r="D48" i="1"/>
  <c r="D42" i="1"/>
  <c r="D47" i="1" s="1"/>
  <c r="D35" i="1"/>
  <c r="C51" i="1"/>
  <c r="C50" i="1"/>
  <c r="C49" i="1"/>
  <c r="C48" i="1"/>
  <c r="C47" i="1"/>
  <c r="C42" i="1"/>
  <c r="C35" i="1"/>
  <c r="D3" i="1"/>
  <c r="H14" i="2"/>
  <c r="G14" i="2"/>
  <c r="F14" i="2"/>
  <c r="E14" i="2"/>
  <c r="D14" i="2"/>
  <c r="H13" i="2"/>
  <c r="G13" i="2"/>
  <c r="F13" i="2"/>
  <c r="E13" i="2"/>
  <c r="D13" i="2"/>
  <c r="H12" i="2"/>
  <c r="G12" i="2"/>
  <c r="F12" i="2"/>
  <c r="E12" i="2"/>
  <c r="D12" i="2"/>
  <c r="H11" i="2"/>
  <c r="G11" i="2"/>
  <c r="F11" i="2"/>
  <c r="E11" i="2"/>
  <c r="D11" i="2"/>
  <c r="H10" i="2"/>
  <c r="G10" i="2"/>
  <c r="F10" i="2"/>
  <c r="E10" i="2"/>
  <c r="D10" i="2"/>
  <c r="H9" i="2"/>
  <c r="G9" i="2"/>
  <c r="F9" i="2"/>
  <c r="E9" i="2"/>
  <c r="D9" i="2"/>
  <c r="H8" i="2"/>
  <c r="G8" i="2"/>
  <c r="F8" i="2"/>
  <c r="E8" i="2"/>
  <c r="D8" i="2"/>
  <c r="H7" i="2"/>
  <c r="G7" i="2"/>
  <c r="F7" i="2"/>
  <c r="E7" i="2"/>
  <c r="D7" i="2"/>
  <c r="H6" i="2"/>
  <c r="G6" i="2"/>
  <c r="F6" i="2"/>
  <c r="E6" i="2"/>
  <c r="D6" i="2"/>
  <c r="H5" i="2"/>
  <c r="G5" i="2"/>
  <c r="F5" i="2"/>
  <c r="E5" i="2"/>
  <c r="D5" i="2"/>
  <c r="H4" i="2"/>
  <c r="G4" i="2"/>
  <c r="F4" i="2"/>
  <c r="E4" i="2"/>
  <c r="D4" i="2"/>
  <c r="Z3" i="1"/>
  <c r="Y3" i="1"/>
  <c r="X3" i="1"/>
  <c r="V3" i="1"/>
  <c r="T3" i="1"/>
  <c r="R3" i="1"/>
  <c r="Q3" i="1"/>
  <c r="P3" i="1"/>
  <c r="N3" i="1"/>
  <c r="M3" i="1"/>
  <c r="L3" i="1"/>
  <c r="J3" i="1"/>
  <c r="I3" i="1"/>
  <c r="H3" i="1"/>
  <c r="F3" i="1"/>
  <c r="E3" i="1"/>
  <c r="G19" i="1"/>
  <c r="H19" i="1"/>
  <c r="K19" i="1"/>
  <c r="L19" i="1"/>
  <c r="P19" i="1"/>
  <c r="Q19" i="1"/>
  <c r="R19" i="1"/>
  <c r="V19" i="1"/>
  <c r="Y19" i="1"/>
  <c r="Z19" i="1"/>
  <c r="G18" i="1"/>
  <c r="H18" i="1"/>
  <c r="K18" i="1"/>
  <c r="L18" i="1"/>
  <c r="P18" i="1"/>
  <c r="Q18" i="1"/>
  <c r="R18" i="1"/>
  <c r="V18" i="1"/>
  <c r="Y18" i="1"/>
  <c r="Z18" i="1"/>
  <c r="G17" i="1"/>
  <c r="H17" i="1"/>
  <c r="K17" i="1"/>
  <c r="L17" i="1"/>
  <c r="P17" i="1"/>
  <c r="Q17" i="1"/>
  <c r="R17" i="1"/>
  <c r="V17" i="1"/>
  <c r="Y17" i="1"/>
  <c r="Z17" i="1"/>
  <c r="G16" i="1"/>
  <c r="H16" i="1"/>
  <c r="K16" i="1"/>
  <c r="L16" i="1"/>
  <c r="P16" i="1"/>
  <c r="Q16" i="1"/>
  <c r="R16" i="1"/>
  <c r="V16" i="1"/>
  <c r="Y16" i="1"/>
  <c r="Z16" i="1"/>
  <c r="Y15" i="1"/>
  <c r="C19" i="1"/>
  <c r="C18" i="1"/>
  <c r="C17" i="1"/>
  <c r="C16" i="1"/>
  <c r="S3" i="1"/>
  <c r="W3" i="1"/>
  <c r="O3" i="1"/>
  <c r="K3" i="1"/>
  <c r="C10" i="1"/>
  <c r="C15" i="1" s="1"/>
  <c r="G10" i="1"/>
  <c r="G15" i="1" s="1"/>
  <c r="H10" i="1"/>
  <c r="H15" i="1" s="1"/>
  <c r="K10" i="1"/>
  <c r="K15" i="1" s="1"/>
  <c r="L10" i="1"/>
  <c r="L15" i="1" s="1"/>
  <c r="P10" i="1"/>
  <c r="P15" i="1" s="1"/>
  <c r="Q10" i="1"/>
  <c r="Q15" i="1" s="1"/>
  <c r="R10" i="1"/>
  <c r="R15" i="1" s="1"/>
  <c r="V10" i="1"/>
  <c r="V15" i="1" s="1"/>
  <c r="Y10" i="1"/>
  <c r="Z10" i="1"/>
  <c r="Z15" i="1" s="1"/>
  <c r="C3" i="1"/>
  <c r="G3" i="1"/>
</calcChain>
</file>

<file path=xl/sharedStrings.xml><?xml version="1.0" encoding="utf-8"?>
<sst xmlns="http://schemas.openxmlformats.org/spreadsheetml/2006/main" count="65" uniqueCount="23">
  <si>
    <t>Consumi [MWh/y]</t>
  </si>
  <si>
    <t>E prodotta PV [MWh/y]</t>
  </si>
  <si>
    <t>E acquistata [MWh/y]</t>
  </si>
  <si>
    <t>E venduta [MWh/y]</t>
  </si>
  <si>
    <t>E autoconsumata [MWh/y]</t>
  </si>
  <si>
    <t>E in BESS [MWh/y]</t>
  </si>
  <si>
    <t>E out BESS [MWh/y]</t>
  </si>
  <si>
    <t>cicli/anno</t>
  </si>
  <si>
    <t>CAPEX BESS</t>
  </si>
  <si>
    <t>OPEX BESS</t>
  </si>
  <si>
    <t>Ricavi da cessione</t>
  </si>
  <si>
    <t>Spesa per acquisto energia</t>
  </si>
  <si>
    <t>PBP</t>
  </si>
  <si>
    <t>Numero di Batterie</t>
  </si>
  <si>
    <t>Energia BESS [kWh]</t>
  </si>
  <si>
    <t>Potenza Inverter [kW]</t>
  </si>
  <si>
    <t>batterie [MWh/y]</t>
  </si>
  <si>
    <t>inverter [MW/y]</t>
  </si>
  <si>
    <t>Produzione autoconsumata [%]</t>
  </si>
  <si>
    <t>Produzione ceduta [%]</t>
  </si>
  <si>
    <t>consumo da pv [%]</t>
  </si>
  <si>
    <t>consumo da rete [%]</t>
  </si>
  <si>
    <t>consumo da BESS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</si>
</sst>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000000"/>
      <name val="Aptos"/>
    </font>
    <font>
      <sz val="10"/>
      <color rgb="FF000000"/>
      <name val="Aptos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2" borderId="8" xfId="0" applyNumberFormat="1" applyFill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 readingOrder="1"/>
    </xf>
    <xf numFmtId="0" fontId="2" fillId="2" borderId="20" xfId="0" applyFont="1" applyFill="1" applyBorder="1" applyAlignment="1">
      <alignment horizontal="center" vertical="center" wrapText="1" readingOrder="1"/>
    </xf>
    <xf numFmtId="0" fontId="3" fillId="2" borderId="20" xfId="0" applyFont="1" applyFill="1" applyBorder="1" applyAlignment="1">
      <alignment horizontal="center" vertical="center" wrapText="1" readingOrder="1"/>
    </xf>
    <xf numFmtId="0" fontId="1" fillId="2" borderId="20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 readingOrder="1"/>
    </xf>
    <xf numFmtId="0" fontId="4" fillId="0" borderId="26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2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2" fontId="4" fillId="0" borderId="21" xfId="0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4" fillId="3" borderId="19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2" fontId="4" fillId="3" borderId="21" xfId="0" applyNumberFormat="1" applyFont="1" applyFill="1" applyBorder="1" applyAlignment="1">
      <alignment horizontal="center" vertical="center" wrapText="1"/>
    </xf>
    <xf numFmtId="2" fontId="0" fillId="3" borderId="17" xfId="0" applyNumberFormat="1" applyFill="1" applyBorder="1" applyAlignment="1">
      <alignment horizontal="center"/>
    </xf>
    <xf numFmtId="2" fontId="0" fillId="4" borderId="17" xfId="0" applyNumberFormat="1" applyFill="1" applyBorder="1" applyAlignment="1">
      <alignment horizontal="center"/>
    </xf>
    <xf numFmtId="2" fontId="0" fillId="5" borderId="17" xfId="0" applyNumberFormat="1" applyFill="1" applyBorder="1" applyAlignment="1">
      <alignment horizontal="center"/>
    </xf>
    <xf numFmtId="2" fontId="0" fillId="6" borderId="17" xfId="0" applyNumberFormat="1" applyFill="1" applyBorder="1" applyAlignment="1">
      <alignment horizontal="center"/>
    </xf>
    <xf numFmtId="0" fontId="4" fillId="3" borderId="22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577003374724708E-2"/>
          <c:y val="1.6503708786210696E-2"/>
          <c:w val="0.9431213474570761"/>
          <c:h val="0.90772254759342885"/>
        </c:manualLayout>
      </c:layout>
      <c:scatterChart>
        <c:scatterStyle val="smoothMarker"/>
        <c:varyColors val="0"/>
        <c:ser>
          <c:idx val="0"/>
          <c:order val="0"/>
          <c:tx>
            <c:v>2MW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[1]Foglio1!$C$70:$H$70</c:f>
              <c:numCache>
                <c:formatCode>General</c:formatCode>
                <c:ptCount val="6"/>
                <c:pt idx="0">
                  <c:v>8140</c:v>
                </c:pt>
                <c:pt idx="1">
                  <c:v>12210</c:v>
                </c:pt>
                <c:pt idx="2">
                  <c:v>24420</c:v>
                </c:pt>
                <c:pt idx="3">
                  <c:v>32560</c:v>
                </c:pt>
                <c:pt idx="4">
                  <c:v>36630</c:v>
                </c:pt>
                <c:pt idx="5">
                  <c:v>40700</c:v>
                </c:pt>
              </c:numCache>
            </c:numRef>
          </c:xVal>
          <c:yVal>
            <c:numRef>
              <c:f>[1]Foglio1!$C$82:$H$82</c:f>
              <c:numCache>
                <c:formatCode>0.00</c:formatCode>
                <c:ptCount val="6"/>
                <c:pt idx="0">
                  <c:v>43.83379394292087</c:v>
                </c:pt>
                <c:pt idx="1">
                  <c:v>45.643290667049499</c:v>
                </c:pt>
                <c:pt idx="2">
                  <c:v>48.973678054243805</c:v>
                </c:pt>
                <c:pt idx="3">
                  <c:v>49.77319112712167</c:v>
                </c:pt>
                <c:pt idx="4">
                  <c:v>50.020253322388129</c:v>
                </c:pt>
                <c:pt idx="5">
                  <c:v>50.237326899298196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59-45C2-84A9-B410250F4688}"/>
            </c:ext>
          </c:extLst>
        </c:ser>
        <c:ser>
          <c:idx val="2"/>
          <c:order val="1"/>
          <c:tx>
            <c:v>6MW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[1]Foglio1!$O$70:$T$70</c:f>
              <c:numCache>
                <c:formatCode>General</c:formatCode>
                <c:ptCount val="6"/>
                <c:pt idx="0">
                  <c:v>8140</c:v>
                </c:pt>
                <c:pt idx="1">
                  <c:v>12210</c:v>
                </c:pt>
                <c:pt idx="2">
                  <c:v>24420</c:v>
                </c:pt>
                <c:pt idx="3">
                  <c:v>32560</c:v>
                </c:pt>
                <c:pt idx="4">
                  <c:v>36630</c:v>
                </c:pt>
                <c:pt idx="5">
                  <c:v>40700</c:v>
                </c:pt>
              </c:numCache>
            </c:numRef>
          </c:xVal>
          <c:yVal>
            <c:numRef>
              <c:f>[1]Foglio1!$O$82:$T$82</c:f>
              <c:numCache>
                <c:formatCode>0.00</c:formatCode>
                <c:ptCount val="6"/>
                <c:pt idx="0">
                  <c:v>43.935039920491093</c:v>
                </c:pt>
                <c:pt idx="1">
                  <c:v>45.915664356708511</c:v>
                </c:pt>
                <c:pt idx="2">
                  <c:v>50.774645905261885</c:v>
                </c:pt>
                <c:pt idx="3">
                  <c:v>53.381454702755981</c:v>
                </c:pt>
                <c:pt idx="4">
                  <c:v>54.559264566826926</c:v>
                </c:pt>
                <c:pt idx="5">
                  <c:v>55.686176317173718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59-45C2-84A9-B410250F4688}"/>
            </c:ext>
          </c:extLst>
        </c:ser>
        <c:ser>
          <c:idx val="1"/>
          <c:order val="2"/>
          <c:tx>
            <c:v>4MW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[1]Foglio1!$I$70:$N$70</c:f>
              <c:numCache>
                <c:formatCode>General</c:formatCode>
                <c:ptCount val="6"/>
                <c:pt idx="0">
                  <c:v>8140</c:v>
                </c:pt>
                <c:pt idx="1">
                  <c:v>12210</c:v>
                </c:pt>
                <c:pt idx="2">
                  <c:v>24420</c:v>
                </c:pt>
                <c:pt idx="3">
                  <c:v>32560</c:v>
                </c:pt>
                <c:pt idx="4">
                  <c:v>36630</c:v>
                </c:pt>
                <c:pt idx="5">
                  <c:v>40700</c:v>
                </c:pt>
              </c:numCache>
            </c:numRef>
          </c:xVal>
          <c:yVal>
            <c:numRef>
              <c:f>[1]Foglio1!$I$82:$N$82</c:f>
              <c:numCache>
                <c:formatCode>0.00</c:formatCode>
                <c:ptCount val="6"/>
                <c:pt idx="0">
                  <c:v>43.93448967061299</c:v>
                </c:pt>
                <c:pt idx="1">
                  <c:v>45.893929486523596</c:v>
                </c:pt>
                <c:pt idx="2">
                  <c:v>50.579307198536725</c:v>
                </c:pt>
                <c:pt idx="3">
                  <c:v>52.925847803689997</c:v>
                </c:pt>
                <c:pt idx="4">
                  <c:v>53.93308020555024</c:v>
                </c:pt>
                <c:pt idx="5">
                  <c:v>54.843743753804119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659-45C2-84A9-B410250F4688}"/>
            </c:ext>
          </c:extLst>
        </c:ser>
        <c:ser>
          <c:idx val="3"/>
          <c:order val="3"/>
          <c:tx>
            <c:v>8MW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[1]Foglio1!$U$70:$Z$70</c:f>
              <c:numCache>
                <c:formatCode>General</c:formatCode>
                <c:ptCount val="6"/>
                <c:pt idx="0">
                  <c:v>8140</c:v>
                </c:pt>
                <c:pt idx="1">
                  <c:v>12210</c:v>
                </c:pt>
                <c:pt idx="2">
                  <c:v>24420</c:v>
                </c:pt>
                <c:pt idx="3">
                  <c:v>32560</c:v>
                </c:pt>
                <c:pt idx="4">
                  <c:v>36630</c:v>
                </c:pt>
                <c:pt idx="5">
                  <c:v>40700</c:v>
                </c:pt>
              </c:numCache>
            </c:numRef>
          </c:xVal>
          <c:yVal>
            <c:numRef>
              <c:f>[1]Foglio1!$U$82:$Z$82</c:f>
              <c:numCache>
                <c:formatCode>0.00</c:formatCode>
                <c:ptCount val="6"/>
                <c:pt idx="0">
                  <c:v>43.93586529530824</c:v>
                </c:pt>
                <c:pt idx="1">
                  <c:v>45.915939481647555</c:v>
                </c:pt>
                <c:pt idx="2">
                  <c:v>50.805459898435437</c:v>
                </c:pt>
                <c:pt idx="3">
                  <c:v>53.467018558800369</c:v>
                </c:pt>
                <c:pt idx="4">
                  <c:v>54.701779285254574</c:v>
                </c:pt>
                <c:pt idx="5">
                  <c:v>55.879038899447423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659-45C2-84A9-B410250F4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8212367"/>
        <c:axId val="1748221487"/>
      </c:scatterChart>
      <c:valAx>
        <c:axId val="1748212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MWh BESS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48221487"/>
        <c:crosses val="autoZero"/>
        <c:crossBetween val="midCat"/>
      </c:valAx>
      <c:valAx>
        <c:axId val="174822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 %autoconsumo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48212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58</xdr:row>
      <xdr:rowOff>57150</xdr:rowOff>
    </xdr:from>
    <xdr:to>
      <xdr:col>47</xdr:col>
      <xdr:colOff>228600</xdr:colOff>
      <xdr:row>95</xdr:row>
      <xdr:rowOff>32946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2477C7B-A945-421B-8536-52E67215D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AFD96-74B3-428E-85E6-96A8820F5775}">
  <dimension ref="B1:Z95"/>
  <sheetViews>
    <sheetView tabSelected="1" topLeftCell="A72" zoomScaleNormal="100" workbookViewId="0">
      <selection activeCell="AB70" sqref="AB70"/>
    </sheetView>
  </sheetViews>
  <sheetFormatPr defaultRowHeight="14.4" x14ac:dyDescent="0.3"/>
  <cols>
    <col min="1" max="1" width="3.33203125" style="1" customWidth="1"/>
    <col min="2" max="2" width="35.21875" style="1" customWidth="1"/>
    <col min="3" max="3" width="12.77734375" style="1" customWidth="1"/>
    <col min="4" max="4" width="12.21875" style="1" customWidth="1"/>
    <col min="5" max="5" width="11.21875" style="1" customWidth="1"/>
    <col min="6" max="6" width="11.5546875" style="1" customWidth="1"/>
    <col min="7" max="7" width="12.109375" style="1" customWidth="1"/>
    <col min="8" max="8" width="11.109375" style="1" customWidth="1"/>
    <col min="9" max="9" width="10.6640625" style="1" customWidth="1"/>
    <col min="10" max="10" width="11.44140625" style="1" customWidth="1"/>
    <col min="11" max="11" width="12.33203125" style="1" customWidth="1"/>
    <col min="12" max="12" width="12" style="1" customWidth="1"/>
    <col min="13" max="13" width="12.109375" style="1" customWidth="1"/>
    <col min="14" max="14" width="13" style="1" customWidth="1"/>
    <col min="15" max="15" width="12.88671875" style="1" customWidth="1"/>
    <col min="16" max="16" width="13.21875" style="1" customWidth="1"/>
    <col min="17" max="17" width="13.6640625" style="1" customWidth="1"/>
    <col min="18" max="18" width="15" style="1" customWidth="1"/>
    <col min="19" max="19" width="11.33203125" style="1" customWidth="1"/>
    <col min="20" max="21" width="11.21875" style="1" bestFit="1" customWidth="1"/>
    <col min="22" max="22" width="10.44140625" style="1" customWidth="1"/>
    <col min="23" max="24" width="11.21875" style="1" bestFit="1" customWidth="1"/>
    <col min="25" max="25" width="11.6640625" style="1" bestFit="1" customWidth="1"/>
    <col min="26" max="26" width="10.77734375" style="1" bestFit="1" customWidth="1"/>
    <col min="27" max="16384" width="8.88671875" style="1"/>
  </cols>
  <sheetData>
    <row r="1" spans="2:26" ht="15" thickBot="1" x14ac:dyDescent="0.35"/>
    <row r="2" spans="2:26" ht="16.8" customHeight="1" thickBot="1" x14ac:dyDescent="0.35">
      <c r="B2" s="26" t="s">
        <v>13</v>
      </c>
      <c r="C2" s="40">
        <v>2</v>
      </c>
      <c r="D2" s="40">
        <v>2</v>
      </c>
      <c r="E2" s="40">
        <v>2</v>
      </c>
      <c r="F2" s="40">
        <v>2</v>
      </c>
      <c r="G2" s="38">
        <v>3</v>
      </c>
      <c r="H2" s="38">
        <v>3</v>
      </c>
      <c r="I2" s="38">
        <v>3</v>
      </c>
      <c r="J2" s="38">
        <v>3</v>
      </c>
      <c r="K2" s="7">
        <v>6</v>
      </c>
      <c r="L2" s="7">
        <v>6</v>
      </c>
      <c r="M2" s="7">
        <v>6</v>
      </c>
      <c r="N2" s="7">
        <v>6</v>
      </c>
      <c r="O2" s="7">
        <v>8</v>
      </c>
      <c r="P2" s="7">
        <v>8</v>
      </c>
      <c r="Q2" s="7">
        <v>8</v>
      </c>
      <c r="R2" s="7">
        <v>8</v>
      </c>
      <c r="S2" s="7">
        <v>9</v>
      </c>
      <c r="T2" s="7">
        <v>9</v>
      </c>
      <c r="U2" s="7">
        <v>8</v>
      </c>
      <c r="V2" s="7">
        <v>9</v>
      </c>
      <c r="W2" s="7">
        <v>10</v>
      </c>
      <c r="X2" s="7">
        <v>10</v>
      </c>
      <c r="Y2" s="7">
        <v>10</v>
      </c>
      <c r="Z2" s="7">
        <v>10</v>
      </c>
    </row>
    <row r="3" spans="2:26" ht="15" thickBot="1" x14ac:dyDescent="0.35">
      <c r="B3" s="27" t="s">
        <v>14</v>
      </c>
      <c r="C3" s="39">
        <f>4070*C2</f>
        <v>8140</v>
      </c>
      <c r="D3" s="39">
        <f>4070*D2</f>
        <v>8140</v>
      </c>
      <c r="E3" s="39">
        <f>4070*E2</f>
        <v>8140</v>
      </c>
      <c r="F3" s="39">
        <f>4070*F2</f>
        <v>8140</v>
      </c>
      <c r="G3" s="18">
        <f>4070*G2</f>
        <v>12210</v>
      </c>
      <c r="H3" s="18">
        <f t="shared" ref="H3:J3" si="0">4070*H2</f>
        <v>12210</v>
      </c>
      <c r="I3" s="18">
        <f t="shared" si="0"/>
        <v>12210</v>
      </c>
      <c r="J3" s="18">
        <f t="shared" si="0"/>
        <v>12210</v>
      </c>
      <c r="K3" s="25">
        <f t="shared" ref="K3:R3" si="1">4070*K2</f>
        <v>24420</v>
      </c>
      <c r="L3" s="25">
        <f t="shared" si="1"/>
        <v>24420</v>
      </c>
      <c r="M3" s="25">
        <f t="shared" si="1"/>
        <v>24420</v>
      </c>
      <c r="N3" s="25">
        <f t="shared" si="1"/>
        <v>24420</v>
      </c>
      <c r="O3" s="25">
        <f t="shared" si="1"/>
        <v>32560</v>
      </c>
      <c r="P3" s="25">
        <f t="shared" si="1"/>
        <v>32560</v>
      </c>
      <c r="Q3" s="25">
        <f t="shared" si="1"/>
        <v>32560</v>
      </c>
      <c r="R3" s="25">
        <f t="shared" si="1"/>
        <v>32560</v>
      </c>
      <c r="S3" s="25">
        <f t="shared" ref="S3:V3" si="2">4070*S2</f>
        <v>36630</v>
      </c>
      <c r="T3" s="25">
        <f t="shared" si="2"/>
        <v>36630</v>
      </c>
      <c r="U3" s="25">
        <f>4070*U2</f>
        <v>32560</v>
      </c>
      <c r="V3" s="25">
        <f t="shared" si="2"/>
        <v>36630</v>
      </c>
      <c r="W3" s="23">
        <f t="shared" ref="W3:Z3" si="3">4070*W2</f>
        <v>40700</v>
      </c>
      <c r="X3" s="23">
        <f t="shared" si="3"/>
        <v>40700</v>
      </c>
      <c r="Y3" s="23">
        <f t="shared" si="3"/>
        <v>40700</v>
      </c>
      <c r="Z3" s="23">
        <f t="shared" si="3"/>
        <v>40700</v>
      </c>
    </row>
    <row r="4" spans="2:26" ht="16.8" customHeight="1" thickBot="1" x14ac:dyDescent="0.35">
      <c r="B4" s="27" t="s">
        <v>15</v>
      </c>
      <c r="C4" s="4">
        <v>2035</v>
      </c>
      <c r="D4" s="2">
        <v>4070</v>
      </c>
      <c r="E4" s="2">
        <v>6105</v>
      </c>
      <c r="F4" s="2">
        <v>8140</v>
      </c>
      <c r="G4" s="2">
        <v>2035</v>
      </c>
      <c r="H4" s="2">
        <v>4070</v>
      </c>
      <c r="I4" s="2">
        <v>6105</v>
      </c>
      <c r="J4" s="2">
        <v>8140</v>
      </c>
      <c r="K4" s="2">
        <v>2035</v>
      </c>
      <c r="L4" s="2">
        <v>4070</v>
      </c>
      <c r="M4" s="2">
        <v>6105</v>
      </c>
      <c r="N4" s="4">
        <v>8140</v>
      </c>
      <c r="O4" s="2">
        <v>2035</v>
      </c>
      <c r="P4" s="2">
        <v>4070</v>
      </c>
      <c r="Q4" s="2">
        <v>6105</v>
      </c>
      <c r="R4" s="2">
        <v>8140</v>
      </c>
      <c r="S4" s="2">
        <v>2035</v>
      </c>
      <c r="T4" s="2">
        <v>4070</v>
      </c>
      <c r="U4" s="2">
        <v>6105</v>
      </c>
      <c r="V4" s="2">
        <v>8140</v>
      </c>
      <c r="W4" s="2">
        <v>2035</v>
      </c>
      <c r="X4" s="2">
        <v>4070</v>
      </c>
      <c r="Y4" s="2">
        <v>6105</v>
      </c>
      <c r="Z4" s="2">
        <v>8140</v>
      </c>
    </row>
    <row r="5" spans="2:26" ht="15" thickBot="1" x14ac:dyDescent="0.35">
      <c r="B5" s="28"/>
      <c r="C5" s="8"/>
      <c r="D5" s="31"/>
      <c r="E5" s="24"/>
      <c r="F5" s="24"/>
      <c r="G5" s="24"/>
      <c r="H5" s="24"/>
      <c r="I5" s="24"/>
      <c r="J5" s="24"/>
      <c r="K5" s="24"/>
      <c r="L5" s="25"/>
      <c r="M5" s="8"/>
      <c r="N5" s="8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2:26" ht="15" thickBot="1" x14ac:dyDescent="0.35">
      <c r="B6" s="28" t="s">
        <v>0</v>
      </c>
      <c r="C6" s="23">
        <v>36347.123</v>
      </c>
      <c r="D6" s="23">
        <v>36347.123</v>
      </c>
      <c r="E6" s="23">
        <v>36347.123</v>
      </c>
      <c r="F6" s="23">
        <v>36347.123</v>
      </c>
      <c r="G6" s="23">
        <v>36347.123</v>
      </c>
      <c r="H6" s="23">
        <v>36347.123</v>
      </c>
      <c r="I6" s="23">
        <v>36347.123</v>
      </c>
      <c r="J6" s="23">
        <v>36347.123</v>
      </c>
      <c r="K6" s="23">
        <v>36347.123</v>
      </c>
      <c r="L6" s="23">
        <v>36347.123</v>
      </c>
      <c r="M6" s="23">
        <v>36347.123</v>
      </c>
      <c r="N6" s="23">
        <v>36347.123</v>
      </c>
      <c r="O6" s="23">
        <v>36347.123</v>
      </c>
      <c r="P6" s="23">
        <v>36347.123</v>
      </c>
      <c r="Q6" s="23">
        <v>36347.123</v>
      </c>
      <c r="R6" s="23">
        <v>36347.123</v>
      </c>
      <c r="S6" s="23">
        <v>36347.123</v>
      </c>
      <c r="T6" s="23">
        <v>36347.123</v>
      </c>
      <c r="U6" s="23">
        <v>36347.123</v>
      </c>
      <c r="V6" s="23">
        <v>36347.123</v>
      </c>
      <c r="W6" s="23">
        <v>36347.123</v>
      </c>
      <c r="X6" s="23">
        <v>36347.123</v>
      </c>
      <c r="Y6" s="23">
        <v>36347.123</v>
      </c>
      <c r="Z6" s="23">
        <v>36347.123</v>
      </c>
    </row>
    <row r="7" spans="2:26" ht="15" thickBot="1" x14ac:dyDescent="0.35">
      <c r="B7" s="28" t="s">
        <v>1</v>
      </c>
      <c r="C7" s="23">
        <v>38620.828999999998</v>
      </c>
      <c r="D7" s="23">
        <v>38620.828999999998</v>
      </c>
      <c r="E7" s="23">
        <v>38620.828999999998</v>
      </c>
      <c r="F7" s="23">
        <v>38620.828999999998</v>
      </c>
      <c r="G7" s="23">
        <v>38620.828999999998</v>
      </c>
      <c r="H7" s="23">
        <v>38620.828999999998</v>
      </c>
      <c r="I7" s="23">
        <v>38620.828999999998</v>
      </c>
      <c r="J7" s="23">
        <v>38620.828999999998</v>
      </c>
      <c r="K7" s="23">
        <v>38620.828999999998</v>
      </c>
      <c r="L7" s="23">
        <v>38620.828999999998</v>
      </c>
      <c r="M7" s="23">
        <v>38620.828999999998</v>
      </c>
      <c r="N7" s="23">
        <v>38620.828999999998</v>
      </c>
      <c r="O7" s="23">
        <v>38620.828999999998</v>
      </c>
      <c r="P7" s="23">
        <v>38620.828999999998</v>
      </c>
      <c r="Q7" s="23">
        <v>38620.828999999998</v>
      </c>
      <c r="R7" s="23">
        <v>38620.828999999998</v>
      </c>
      <c r="S7" s="23">
        <v>38620.828999999998</v>
      </c>
      <c r="T7" s="23">
        <v>38620.828999999998</v>
      </c>
      <c r="U7" s="23">
        <v>38620.828999999998</v>
      </c>
      <c r="V7" s="23">
        <v>38620.828999999998</v>
      </c>
      <c r="W7" s="23">
        <v>38620.828999999998</v>
      </c>
      <c r="X7" s="23">
        <v>38620.828999999998</v>
      </c>
      <c r="Y7" s="23">
        <v>38620.828999999998</v>
      </c>
      <c r="Z7" s="23">
        <v>38620.828999999998</v>
      </c>
    </row>
    <row r="8" spans="2:26" ht="15" thickBot="1" x14ac:dyDescent="0.35">
      <c r="B8" s="28" t="s">
        <v>2</v>
      </c>
      <c r="C8" s="22">
        <v>20414.8</v>
      </c>
      <c r="D8" s="5"/>
      <c r="E8" s="5"/>
      <c r="F8" s="5"/>
      <c r="G8" s="5">
        <v>19757.099999999999</v>
      </c>
      <c r="H8" s="5">
        <v>19666</v>
      </c>
      <c r="I8" s="5"/>
      <c r="J8" s="5"/>
      <c r="K8" s="5">
        <v>18547</v>
      </c>
      <c r="L8" s="5">
        <v>17962.8</v>
      </c>
      <c r="M8" s="33"/>
      <c r="N8" s="33"/>
      <c r="O8" s="34"/>
      <c r="P8" s="34">
        <v>17110</v>
      </c>
      <c r="Q8" s="34">
        <v>16944.5</v>
      </c>
      <c r="R8" s="34">
        <v>16913.400000000001</v>
      </c>
      <c r="S8" s="34"/>
      <c r="T8" s="34"/>
      <c r="U8" s="34">
        <v>16944.5</v>
      </c>
      <c r="V8" s="34">
        <v>16465</v>
      </c>
      <c r="W8" s="34"/>
      <c r="X8" s="34"/>
      <c r="Y8" s="34">
        <v>16106.8</v>
      </c>
      <c r="Z8" s="34">
        <v>16037</v>
      </c>
    </row>
    <row r="9" spans="2:26" ht="15" thickBot="1" x14ac:dyDescent="0.35">
      <c r="B9" s="28" t="s">
        <v>3</v>
      </c>
      <c r="C9" s="19">
        <v>22345.200000000001</v>
      </c>
      <c r="D9" s="6"/>
      <c r="E9" s="6"/>
      <c r="F9" s="6"/>
      <c r="G9" s="6">
        <v>21566.799999999999</v>
      </c>
      <c r="H9" s="6">
        <v>21458.9</v>
      </c>
      <c r="I9" s="6"/>
      <c r="J9" s="6"/>
      <c r="K9" s="6">
        <v>20134</v>
      </c>
      <c r="L9" s="6">
        <v>19442.8</v>
      </c>
      <c r="M9" s="6"/>
      <c r="N9" s="6"/>
      <c r="O9" s="35"/>
      <c r="P9" s="35">
        <v>18433.400000000001</v>
      </c>
      <c r="Q9" s="35">
        <v>18237.400000000001</v>
      </c>
      <c r="R9" s="35">
        <v>18201</v>
      </c>
      <c r="S9" s="35"/>
      <c r="T9" s="35"/>
      <c r="U9" s="35">
        <v>18237.400000000001</v>
      </c>
      <c r="V9" s="35">
        <v>17669</v>
      </c>
      <c r="W9" s="35"/>
      <c r="X9" s="35"/>
      <c r="Y9" s="35">
        <v>17245.7</v>
      </c>
      <c r="Z9" s="35">
        <v>17163</v>
      </c>
    </row>
    <row r="10" spans="2:26" ht="15" thickBot="1" x14ac:dyDescent="0.35">
      <c r="B10" s="28" t="s">
        <v>4</v>
      </c>
      <c r="C10" s="19">
        <f>$C$6-C8</f>
        <v>15932.323</v>
      </c>
      <c r="D10" s="19"/>
      <c r="E10" s="19"/>
      <c r="F10" s="19"/>
      <c r="G10" s="19">
        <f>$C$6-G8</f>
        <v>16590.023000000001</v>
      </c>
      <c r="H10" s="19">
        <f t="shared" ref="H10:Z10" si="4">$C$6-H8</f>
        <v>16681.123</v>
      </c>
      <c r="I10" s="19"/>
      <c r="J10" s="19"/>
      <c r="K10" s="19">
        <f t="shared" si="4"/>
        <v>17800.123</v>
      </c>
      <c r="L10" s="19">
        <f t="shared" si="4"/>
        <v>18384.323</v>
      </c>
      <c r="M10" s="6"/>
      <c r="N10" s="6"/>
      <c r="O10" s="6"/>
      <c r="P10" s="6">
        <f t="shared" si="4"/>
        <v>19237.123</v>
      </c>
      <c r="Q10" s="6">
        <f t="shared" si="4"/>
        <v>19402.623</v>
      </c>
      <c r="R10" s="6">
        <f t="shared" si="4"/>
        <v>19433.722999999998</v>
      </c>
      <c r="S10" s="6"/>
      <c r="T10" s="6"/>
      <c r="U10" s="6">
        <f t="shared" ref="U10" si="5">$C$6-U8</f>
        <v>19402.623</v>
      </c>
      <c r="V10" s="6">
        <f t="shared" si="4"/>
        <v>19882.123</v>
      </c>
      <c r="W10" s="6"/>
      <c r="X10" s="6"/>
      <c r="Y10" s="6">
        <f t="shared" si="4"/>
        <v>20240.323</v>
      </c>
      <c r="Z10" s="6">
        <f t="shared" si="4"/>
        <v>20310.123</v>
      </c>
    </row>
    <row r="11" spans="2:26" ht="15" thickBot="1" x14ac:dyDescent="0.35">
      <c r="B11" s="28" t="s">
        <v>5</v>
      </c>
      <c r="C11" s="19">
        <v>2112.4</v>
      </c>
      <c r="D11" s="6"/>
      <c r="E11" s="6"/>
      <c r="F11" s="6"/>
      <c r="G11" s="6">
        <v>2852</v>
      </c>
      <c r="H11" s="6">
        <v>2954.4</v>
      </c>
      <c r="I11" s="6"/>
      <c r="J11" s="6"/>
      <c r="K11" s="6">
        <v>4213.3999999999996</v>
      </c>
      <c r="L11" s="6">
        <v>4870</v>
      </c>
      <c r="M11" s="6"/>
      <c r="N11" s="6"/>
      <c r="O11" s="35"/>
      <c r="P11" s="35">
        <v>5828.6</v>
      </c>
      <c r="Q11" s="35">
        <v>6014.8</v>
      </c>
      <c r="R11" s="35">
        <v>6049.7</v>
      </c>
      <c r="S11" s="35"/>
      <c r="T11" s="35"/>
      <c r="U11" s="35">
        <v>6014.8</v>
      </c>
      <c r="V11" s="35">
        <v>6555</v>
      </c>
      <c r="W11" s="35"/>
      <c r="X11" s="35"/>
      <c r="Y11" s="35">
        <v>6957</v>
      </c>
      <c r="Z11" s="35">
        <v>7036</v>
      </c>
    </row>
    <row r="12" spans="2:26" ht="15" thickBot="1" x14ac:dyDescent="0.35">
      <c r="B12" s="28" t="s">
        <v>6</v>
      </c>
      <c r="C12" s="19">
        <v>1902.4</v>
      </c>
      <c r="D12" s="6"/>
      <c r="E12" s="6"/>
      <c r="F12" s="6"/>
      <c r="G12" s="6">
        <v>2568</v>
      </c>
      <c r="H12" s="6">
        <v>2660</v>
      </c>
      <c r="I12" s="6"/>
      <c r="J12" s="6"/>
      <c r="K12" s="6">
        <v>3792.5</v>
      </c>
      <c r="L12" s="6">
        <v>4383.2</v>
      </c>
      <c r="M12" s="6"/>
      <c r="N12" s="6"/>
      <c r="O12" s="35"/>
      <c r="P12" s="35">
        <v>5245.8</v>
      </c>
      <c r="Q12" s="35">
        <v>5413.4</v>
      </c>
      <c r="R12" s="35">
        <v>5444.8</v>
      </c>
      <c r="S12" s="35"/>
      <c r="T12" s="35"/>
      <c r="U12" s="35">
        <v>5413.4</v>
      </c>
      <c r="V12" s="35">
        <v>5899</v>
      </c>
      <c r="W12" s="35"/>
      <c r="X12" s="35"/>
      <c r="Y12" s="35">
        <v>6261</v>
      </c>
      <c r="Z12" s="35">
        <v>6332</v>
      </c>
    </row>
    <row r="13" spans="2:26" ht="15" thickBot="1" x14ac:dyDescent="0.35">
      <c r="B13" s="28" t="s">
        <v>7</v>
      </c>
      <c r="C13" s="19">
        <v>246</v>
      </c>
      <c r="D13" s="6"/>
      <c r="E13" s="6"/>
      <c r="F13" s="6"/>
      <c r="G13" s="6">
        <v>222</v>
      </c>
      <c r="H13" s="6">
        <v>230</v>
      </c>
      <c r="I13" s="6"/>
      <c r="J13" s="6"/>
      <c r="K13" s="6">
        <v>164</v>
      </c>
      <c r="L13" s="6">
        <v>189</v>
      </c>
      <c r="M13" s="6"/>
      <c r="N13" s="6"/>
      <c r="O13" s="35"/>
      <c r="P13" s="35">
        <v>170</v>
      </c>
      <c r="Q13" s="35">
        <v>175</v>
      </c>
      <c r="R13" s="35">
        <v>176</v>
      </c>
      <c r="S13" s="35"/>
      <c r="T13" s="35"/>
      <c r="U13" s="35">
        <v>175</v>
      </c>
      <c r="V13" s="35">
        <v>170</v>
      </c>
      <c r="W13" s="35"/>
      <c r="X13" s="35"/>
      <c r="Y13" s="35">
        <v>162</v>
      </c>
      <c r="Z13" s="35">
        <v>164</v>
      </c>
    </row>
    <row r="14" spans="2:26" ht="15" customHeight="1" thickBot="1" x14ac:dyDescent="0.35">
      <c r="B14" s="29"/>
      <c r="C14" s="19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2:26" ht="14.4" customHeight="1" thickBot="1" x14ac:dyDescent="0.35">
      <c r="B15" s="28" t="s">
        <v>18</v>
      </c>
      <c r="C15" s="37">
        <f>(C10/$C$6)*100</f>
        <v>43.83379394292087</v>
      </c>
      <c r="D15" s="37"/>
      <c r="E15" s="37"/>
      <c r="F15" s="37"/>
      <c r="G15" s="37">
        <f>(G10/$C$6)*100</f>
        <v>45.643290667049499</v>
      </c>
      <c r="H15" s="37">
        <f t="shared" ref="H15:Z15" si="6">(H10/$C$6)*100</f>
        <v>45.893929486523596</v>
      </c>
      <c r="I15" s="37"/>
      <c r="J15" s="37"/>
      <c r="K15" s="37">
        <f t="shared" si="6"/>
        <v>48.9725775544876</v>
      </c>
      <c r="L15" s="37">
        <f t="shared" si="6"/>
        <v>50.579857448414835</v>
      </c>
      <c r="M15" s="37"/>
      <c r="N15" s="37"/>
      <c r="O15" s="37"/>
      <c r="P15" s="37">
        <f t="shared" si="6"/>
        <v>52.926122928629042</v>
      </c>
      <c r="Q15" s="37">
        <f t="shared" si="6"/>
        <v>53.381454702755981</v>
      </c>
      <c r="R15" s="37">
        <f t="shared" si="6"/>
        <v>53.467018558800369</v>
      </c>
      <c r="S15" s="37"/>
      <c r="T15" s="37"/>
      <c r="U15" s="37">
        <f t="shared" ref="U15" si="7">(U10/$C$6)*100</f>
        <v>53.381454702755981</v>
      </c>
      <c r="V15" s="37">
        <f t="shared" si="6"/>
        <v>54.700678785498368</v>
      </c>
      <c r="W15" s="37"/>
      <c r="X15" s="37"/>
      <c r="Y15" s="37">
        <f t="shared" si="6"/>
        <v>55.686176317173718</v>
      </c>
      <c r="Z15" s="37">
        <f t="shared" si="6"/>
        <v>55.878213524630269</v>
      </c>
    </row>
    <row r="16" spans="2:26" ht="15" thickBot="1" x14ac:dyDescent="0.35">
      <c r="B16" s="28" t="s">
        <v>19</v>
      </c>
      <c r="C16" s="37">
        <f>C9/$C$7*100</f>
        <v>57.8578983894934</v>
      </c>
      <c r="D16" s="37"/>
      <c r="E16" s="37"/>
      <c r="F16" s="37"/>
      <c r="G16" s="37">
        <f>G9/$C$7*100</f>
        <v>55.842405661463147</v>
      </c>
      <c r="H16" s="37">
        <f t="shared" ref="H16:Z16" si="8">H9/$C$7*100</f>
        <v>55.563022740915279</v>
      </c>
      <c r="I16" s="37"/>
      <c r="J16" s="37"/>
      <c r="K16" s="37">
        <f t="shared" si="8"/>
        <v>52.132490475541061</v>
      </c>
      <c r="L16" s="37">
        <f t="shared" si="8"/>
        <v>50.34278264715654</v>
      </c>
      <c r="M16" s="37"/>
      <c r="N16" s="37"/>
      <c r="O16" s="37"/>
      <c r="P16" s="37">
        <f t="shared" si="8"/>
        <v>47.729167077174864</v>
      </c>
      <c r="Q16" s="37">
        <f t="shared" si="8"/>
        <v>47.221668908246386</v>
      </c>
      <c r="R16" s="37">
        <f t="shared" si="8"/>
        <v>47.127419248302516</v>
      </c>
      <c r="S16" s="37"/>
      <c r="T16" s="37"/>
      <c r="U16" s="37">
        <f t="shared" ref="U16" si="9">U9/$C$7*100</f>
        <v>47.221668908246386</v>
      </c>
      <c r="V16" s="37">
        <f t="shared" si="8"/>
        <v>45.749924218353783</v>
      </c>
      <c r="W16" s="37"/>
      <c r="X16" s="37"/>
      <c r="Y16" s="37">
        <f t="shared" si="8"/>
        <v>44.653883530050585</v>
      </c>
      <c r="Z16" s="37">
        <f t="shared" si="8"/>
        <v>44.439750374079232</v>
      </c>
    </row>
    <row r="17" spans="2:26" ht="15" thickBot="1" x14ac:dyDescent="0.35">
      <c r="B17" s="28" t="s">
        <v>20</v>
      </c>
      <c r="C17" s="37">
        <f>(($C$6-C8-C12)/$C$6)*100</f>
        <v>38.599817102443026</v>
      </c>
      <c r="D17" s="37"/>
      <c r="E17" s="37"/>
      <c r="F17" s="37"/>
      <c r="G17" s="37">
        <f>(($C$6-G8-G12)/$C$6)*100</f>
        <v>38.578082232258112</v>
      </c>
      <c r="H17" s="37">
        <f t="shared" ref="H17:Z17" si="10">(($C$6-H8-H12)/$C$6)*100</f>
        <v>38.575606107806657</v>
      </c>
      <c r="I17" s="37"/>
      <c r="J17" s="37"/>
      <c r="K17" s="37">
        <f t="shared" si="10"/>
        <v>38.538464241034973</v>
      </c>
      <c r="L17" s="37">
        <f t="shared" si="10"/>
        <v>38.520581119996763</v>
      </c>
      <c r="M17" s="37"/>
      <c r="N17" s="37"/>
      <c r="O17" s="37"/>
      <c r="P17" s="37">
        <f t="shared" si="10"/>
        <v>38.493618875969908</v>
      </c>
      <c r="Q17" s="37">
        <f t="shared" si="10"/>
        <v>38.487841252249872</v>
      </c>
      <c r="R17" s="37">
        <f t="shared" si="10"/>
        <v>38.487015877432718</v>
      </c>
      <c r="S17" s="37"/>
      <c r="T17" s="37"/>
      <c r="U17" s="37">
        <f t="shared" ref="U17" si="11">(($C$6-U8-U12)/$C$6)*100</f>
        <v>38.487841252249872</v>
      </c>
      <c r="V17" s="37">
        <f t="shared" si="10"/>
        <v>38.471058630967846</v>
      </c>
      <c r="W17" s="37"/>
      <c r="X17" s="37"/>
      <c r="Y17" s="37">
        <f t="shared" si="10"/>
        <v>38.460603883283966</v>
      </c>
      <c r="Z17" s="37">
        <f t="shared" si="10"/>
        <v>38.457302384015371</v>
      </c>
    </row>
    <row r="18" spans="2:26" ht="15" thickBot="1" x14ac:dyDescent="0.35">
      <c r="B18" s="28" t="s">
        <v>21</v>
      </c>
      <c r="C18" s="37">
        <f>(C8/$C$6)*100</f>
        <v>56.16620605707913</v>
      </c>
      <c r="D18" s="37"/>
      <c r="E18" s="37"/>
      <c r="F18" s="37"/>
      <c r="G18" s="37">
        <f>(G8/$C$6)*100</f>
        <v>54.356709332950501</v>
      </c>
      <c r="H18" s="37">
        <f t="shared" ref="H18:Z18" si="12">(H8/$C$6)*100</f>
        <v>54.106070513476404</v>
      </c>
      <c r="I18" s="37"/>
      <c r="J18" s="37"/>
      <c r="K18" s="37">
        <f t="shared" si="12"/>
        <v>51.027422445512407</v>
      </c>
      <c r="L18" s="37">
        <f t="shared" si="12"/>
        <v>49.420142551585165</v>
      </c>
      <c r="M18" s="37"/>
      <c r="N18" s="37"/>
      <c r="O18" s="37"/>
      <c r="P18" s="37">
        <f t="shared" si="12"/>
        <v>47.073877071370958</v>
      </c>
      <c r="Q18" s="37">
        <f t="shared" si="12"/>
        <v>46.618545297244026</v>
      </c>
      <c r="R18" s="37">
        <f t="shared" si="12"/>
        <v>46.532981441199631</v>
      </c>
      <c r="S18" s="37"/>
      <c r="T18" s="37"/>
      <c r="U18" s="37">
        <f t="shared" ref="U18" si="13">(U8/$C$6)*100</f>
        <v>46.618545297244026</v>
      </c>
      <c r="V18" s="37">
        <f t="shared" si="12"/>
        <v>45.299321214501624</v>
      </c>
      <c r="W18" s="37"/>
      <c r="X18" s="37"/>
      <c r="Y18" s="37">
        <f t="shared" si="12"/>
        <v>44.313823682826289</v>
      </c>
      <c r="Z18" s="37">
        <f t="shared" si="12"/>
        <v>44.121786475369731</v>
      </c>
    </row>
    <row r="19" spans="2:26" ht="15" thickBot="1" x14ac:dyDescent="0.35">
      <c r="B19" s="28" t="s">
        <v>22</v>
      </c>
      <c r="C19" s="37">
        <f>(C12/$C$6)*100</f>
        <v>5.2339768404778564</v>
      </c>
      <c r="D19" s="37"/>
      <c r="E19" s="37"/>
      <c r="F19" s="37"/>
      <c r="G19" s="37">
        <f>(G12/$C$6)*100</f>
        <v>7.065208434791387</v>
      </c>
      <c r="H19" s="37">
        <f t="shared" ref="H19:Z19" si="14">(H12/$C$6)*100</f>
        <v>7.3183233787169346</v>
      </c>
      <c r="I19" s="37"/>
      <c r="J19" s="37"/>
      <c r="K19" s="37">
        <f t="shared" si="14"/>
        <v>10.434113313452622</v>
      </c>
      <c r="L19" s="37">
        <f t="shared" si="14"/>
        <v>12.05927632841807</v>
      </c>
      <c r="M19" s="37"/>
      <c r="N19" s="37"/>
      <c r="O19" s="37"/>
      <c r="P19" s="37">
        <f t="shared" si="14"/>
        <v>14.432504052659134</v>
      </c>
      <c r="Q19" s="37">
        <f t="shared" si="14"/>
        <v>14.893613450506111</v>
      </c>
      <c r="R19" s="37">
        <f t="shared" si="14"/>
        <v>14.980002681367658</v>
      </c>
      <c r="S19" s="37"/>
      <c r="T19" s="37"/>
      <c r="U19" s="37">
        <f t="shared" ref="U19" si="15">(U12/$C$6)*100</f>
        <v>14.893613450506111</v>
      </c>
      <c r="V19" s="37">
        <f t="shared" si="14"/>
        <v>16.229620154530526</v>
      </c>
      <c r="W19" s="37"/>
      <c r="X19" s="37"/>
      <c r="Y19" s="37">
        <f t="shared" si="14"/>
        <v>17.225572433889745</v>
      </c>
      <c r="Z19" s="37">
        <f t="shared" si="14"/>
        <v>17.420911140614898</v>
      </c>
    </row>
    <row r="20" spans="2:26" ht="23.4" thickBot="1" x14ac:dyDescent="0.35">
      <c r="B20" s="29"/>
      <c r="C20" s="19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2:26" ht="15" thickBot="1" x14ac:dyDescent="0.35">
      <c r="B21" s="28" t="s">
        <v>8</v>
      </c>
      <c r="C21" s="19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2:26" ht="15" thickBot="1" x14ac:dyDescent="0.35">
      <c r="B22" s="28" t="s">
        <v>9</v>
      </c>
      <c r="C22" s="19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2:26" ht="23.4" thickBot="1" x14ac:dyDescent="0.35">
      <c r="B23" s="29"/>
      <c r="C23" s="19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2:26" ht="15" thickBot="1" x14ac:dyDescent="0.35">
      <c r="B24" s="28" t="s">
        <v>10</v>
      </c>
      <c r="C24" s="19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2:26" ht="15" thickBot="1" x14ac:dyDescent="0.35">
      <c r="B25" s="28" t="s">
        <v>11</v>
      </c>
      <c r="C25" s="19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2:26" ht="23.4" thickBot="1" x14ac:dyDescent="0.35">
      <c r="B26" s="29"/>
      <c r="C26" s="19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2:26" ht="23.4" thickBot="1" x14ac:dyDescent="0.35">
      <c r="B27" s="29"/>
      <c r="C27" s="19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2:26" ht="15" thickBot="1" x14ac:dyDescent="0.35">
      <c r="B28" s="30" t="s">
        <v>12</v>
      </c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33" spans="2:14" ht="15" thickBot="1" x14ac:dyDescent="0.35">
      <c r="I33" s="32"/>
      <c r="J33" s="32"/>
      <c r="K33" s="32"/>
      <c r="L33" s="32"/>
    </row>
    <row r="34" spans="2:14" ht="15" thickBot="1" x14ac:dyDescent="0.35">
      <c r="B34" s="26" t="s">
        <v>13</v>
      </c>
      <c r="C34" s="40">
        <v>2</v>
      </c>
      <c r="D34" s="38">
        <v>3</v>
      </c>
      <c r="E34" s="7">
        <v>6</v>
      </c>
      <c r="F34" s="38">
        <v>3</v>
      </c>
      <c r="G34" s="7">
        <v>6</v>
      </c>
      <c r="H34" s="7">
        <v>8</v>
      </c>
      <c r="I34" s="7">
        <v>8</v>
      </c>
      <c r="J34" s="7">
        <v>8</v>
      </c>
      <c r="K34" s="7">
        <v>10</v>
      </c>
      <c r="L34" s="7">
        <v>8</v>
      </c>
      <c r="M34" s="7">
        <v>9</v>
      </c>
      <c r="N34" s="7">
        <v>10</v>
      </c>
    </row>
    <row r="35" spans="2:14" ht="15" thickBot="1" x14ac:dyDescent="0.35">
      <c r="B35" s="27" t="s">
        <v>14</v>
      </c>
      <c r="C35" s="39">
        <f>4070*C34</f>
        <v>8140</v>
      </c>
      <c r="D35" s="18">
        <f>4070*D34</f>
        <v>12210</v>
      </c>
      <c r="E35" s="25">
        <f>4070*E34</f>
        <v>24420</v>
      </c>
      <c r="F35" s="18">
        <f t="shared" ref="F35" si="16">4070*F34</f>
        <v>12210</v>
      </c>
      <c r="G35" s="25">
        <f>4070*G34</f>
        <v>24420</v>
      </c>
      <c r="H35" s="25">
        <f>4070*H34</f>
        <v>32560</v>
      </c>
      <c r="I35" s="25">
        <f>4070*I34</f>
        <v>32560</v>
      </c>
      <c r="J35" s="25">
        <f>4070*J34</f>
        <v>32560</v>
      </c>
      <c r="K35" s="23">
        <f t="shared" ref="K35" si="17">4070*K34</f>
        <v>40700</v>
      </c>
      <c r="L35" s="25">
        <f>4070*L34</f>
        <v>32560</v>
      </c>
      <c r="M35" s="25">
        <f t="shared" ref="M35:N35" si="18">4070*M34</f>
        <v>36630</v>
      </c>
      <c r="N35" s="23">
        <f t="shared" si="18"/>
        <v>40700</v>
      </c>
    </row>
    <row r="36" spans="2:14" ht="15" thickBot="1" x14ac:dyDescent="0.35">
      <c r="B36" s="27" t="s">
        <v>15</v>
      </c>
      <c r="C36" s="4">
        <v>2035</v>
      </c>
      <c r="D36" s="2">
        <v>2035</v>
      </c>
      <c r="E36" s="2">
        <v>2035</v>
      </c>
      <c r="F36" s="2">
        <v>4070</v>
      </c>
      <c r="G36" s="2">
        <v>4070</v>
      </c>
      <c r="H36" s="2">
        <v>4070</v>
      </c>
      <c r="I36" s="2">
        <v>6105</v>
      </c>
      <c r="J36" s="2">
        <v>6105</v>
      </c>
      <c r="K36" s="2">
        <v>6105</v>
      </c>
      <c r="L36" s="2">
        <v>8140</v>
      </c>
      <c r="M36" s="2">
        <v>8140</v>
      </c>
      <c r="N36" s="2">
        <v>8140</v>
      </c>
    </row>
    <row r="37" spans="2:14" ht="15" thickBot="1" x14ac:dyDescent="0.35">
      <c r="B37" s="28"/>
      <c r="C37" s="8"/>
      <c r="D37" s="24"/>
      <c r="E37" s="24"/>
      <c r="F37" s="24"/>
      <c r="G37" s="25"/>
      <c r="H37" s="2"/>
      <c r="I37" s="2"/>
      <c r="J37" s="2"/>
      <c r="K37" s="2"/>
      <c r="L37" s="2"/>
      <c r="M37" s="2"/>
      <c r="N37" s="2"/>
    </row>
    <row r="38" spans="2:14" ht="15" thickBot="1" x14ac:dyDescent="0.35">
      <c r="B38" s="28" t="s">
        <v>0</v>
      </c>
      <c r="C38" s="23">
        <v>36347.123</v>
      </c>
      <c r="D38" s="23">
        <v>36347.123</v>
      </c>
      <c r="E38" s="23">
        <v>36347.123</v>
      </c>
      <c r="F38" s="23">
        <v>36347.123</v>
      </c>
      <c r="G38" s="23">
        <v>36347.123</v>
      </c>
      <c r="H38" s="23">
        <v>36347.123</v>
      </c>
      <c r="I38" s="23">
        <v>36347.123</v>
      </c>
      <c r="J38" s="23">
        <v>36347.123</v>
      </c>
      <c r="K38" s="23">
        <v>36347.123</v>
      </c>
      <c r="L38" s="23">
        <v>36347.123</v>
      </c>
      <c r="M38" s="23">
        <v>36347.123</v>
      </c>
      <c r="N38" s="23">
        <v>36347.123</v>
      </c>
    </row>
    <row r="39" spans="2:14" ht="15" thickBot="1" x14ac:dyDescent="0.35">
      <c r="B39" s="28" t="s">
        <v>1</v>
      </c>
      <c r="C39" s="23">
        <v>38620.828999999998</v>
      </c>
      <c r="D39" s="23">
        <v>38620.828999999998</v>
      </c>
      <c r="E39" s="23">
        <v>38620.828999999998</v>
      </c>
      <c r="F39" s="23">
        <v>38620.828999999998</v>
      </c>
      <c r="G39" s="23">
        <v>38620.828999999998</v>
      </c>
      <c r="H39" s="23">
        <v>38620.828999999998</v>
      </c>
      <c r="I39" s="23">
        <v>38620.828999999998</v>
      </c>
      <c r="J39" s="23">
        <v>38620.828999999998</v>
      </c>
      <c r="K39" s="23">
        <v>38620.828999999998</v>
      </c>
      <c r="L39" s="23">
        <v>38620.828999999998</v>
      </c>
      <c r="M39" s="23">
        <v>38620.828999999998</v>
      </c>
      <c r="N39" s="23">
        <v>38620.828999999998</v>
      </c>
    </row>
    <row r="40" spans="2:14" ht="15" thickBot="1" x14ac:dyDescent="0.35">
      <c r="B40" s="28" t="s">
        <v>2</v>
      </c>
      <c r="C40" s="22">
        <v>20414.8</v>
      </c>
      <c r="D40" s="5">
        <v>19757.099999999999</v>
      </c>
      <c r="E40" s="5">
        <v>18547</v>
      </c>
      <c r="F40" s="5">
        <v>19666</v>
      </c>
      <c r="G40" s="5">
        <v>17962.8</v>
      </c>
      <c r="H40" s="34">
        <v>17110</v>
      </c>
      <c r="I40" s="34">
        <v>16944.5</v>
      </c>
      <c r="J40" s="34">
        <v>16944.5</v>
      </c>
      <c r="K40" s="34">
        <v>16106.8</v>
      </c>
      <c r="L40" s="34">
        <v>16913.400000000001</v>
      </c>
      <c r="M40" s="34">
        <v>16465</v>
      </c>
      <c r="N40" s="34">
        <v>16037</v>
      </c>
    </row>
    <row r="41" spans="2:14" ht="15" thickBot="1" x14ac:dyDescent="0.35">
      <c r="B41" s="28" t="s">
        <v>3</v>
      </c>
      <c r="C41" s="19">
        <v>22345.200000000001</v>
      </c>
      <c r="D41" s="6">
        <v>21566.799999999999</v>
      </c>
      <c r="E41" s="6">
        <v>20134</v>
      </c>
      <c r="F41" s="6">
        <v>21458.9</v>
      </c>
      <c r="G41" s="6">
        <v>19442.8</v>
      </c>
      <c r="H41" s="35">
        <v>18433.400000000001</v>
      </c>
      <c r="I41" s="35">
        <v>18237.400000000001</v>
      </c>
      <c r="J41" s="35">
        <v>18237.400000000001</v>
      </c>
      <c r="K41" s="35">
        <v>17245.7</v>
      </c>
      <c r="L41" s="35">
        <v>18201</v>
      </c>
      <c r="M41" s="35">
        <v>17669</v>
      </c>
      <c r="N41" s="35">
        <v>17163</v>
      </c>
    </row>
    <row r="42" spans="2:14" ht="15" thickBot="1" x14ac:dyDescent="0.35">
      <c r="B42" s="28" t="s">
        <v>4</v>
      </c>
      <c r="C42" s="19">
        <f>$C$6-C40</f>
        <v>15932.323</v>
      </c>
      <c r="D42" s="19">
        <f>$C$6-D40</f>
        <v>16590.023000000001</v>
      </c>
      <c r="E42" s="19">
        <f t="shared" ref="E42:N42" si="19">$C$6-E40</f>
        <v>17800.123</v>
      </c>
      <c r="F42" s="19">
        <f t="shared" si="19"/>
        <v>16681.123</v>
      </c>
      <c r="G42" s="19">
        <f t="shared" si="19"/>
        <v>18384.323</v>
      </c>
      <c r="H42" s="6">
        <f t="shared" si="19"/>
        <v>19237.123</v>
      </c>
      <c r="I42" s="6">
        <f t="shared" si="19"/>
        <v>19402.623</v>
      </c>
      <c r="J42" s="6">
        <f t="shared" si="19"/>
        <v>19402.623</v>
      </c>
      <c r="K42" s="6">
        <f t="shared" si="19"/>
        <v>20240.323</v>
      </c>
      <c r="L42" s="6">
        <f t="shared" si="19"/>
        <v>19433.722999999998</v>
      </c>
      <c r="M42" s="6">
        <f t="shared" si="19"/>
        <v>19882.123</v>
      </c>
      <c r="N42" s="6">
        <f t="shared" si="19"/>
        <v>20310.123</v>
      </c>
    </row>
    <row r="43" spans="2:14" ht="15" thickBot="1" x14ac:dyDescent="0.35">
      <c r="B43" s="28" t="s">
        <v>5</v>
      </c>
      <c r="C43" s="19">
        <v>2112.4</v>
      </c>
      <c r="D43" s="6">
        <v>2852</v>
      </c>
      <c r="E43" s="6">
        <v>4213.3999999999996</v>
      </c>
      <c r="F43" s="6">
        <v>2954.4</v>
      </c>
      <c r="G43" s="6">
        <v>4870</v>
      </c>
      <c r="H43" s="35">
        <v>5828.6</v>
      </c>
      <c r="I43" s="35">
        <v>6014.8</v>
      </c>
      <c r="J43" s="35">
        <v>6014.8</v>
      </c>
      <c r="K43" s="35">
        <v>6957</v>
      </c>
      <c r="L43" s="35">
        <v>6049.7</v>
      </c>
      <c r="M43" s="35">
        <v>6555</v>
      </c>
      <c r="N43" s="35">
        <v>7036</v>
      </c>
    </row>
    <row r="44" spans="2:14" ht="15" thickBot="1" x14ac:dyDescent="0.35">
      <c r="B44" s="28" t="s">
        <v>6</v>
      </c>
      <c r="C44" s="19">
        <v>1902.4</v>
      </c>
      <c r="D44" s="6">
        <v>2568</v>
      </c>
      <c r="E44" s="6">
        <v>3792.5</v>
      </c>
      <c r="F44" s="6">
        <v>2660</v>
      </c>
      <c r="G44" s="6">
        <v>4383.2</v>
      </c>
      <c r="H44" s="35">
        <v>5245.8</v>
      </c>
      <c r="I44" s="35">
        <v>5413.4</v>
      </c>
      <c r="J44" s="35">
        <v>5413.4</v>
      </c>
      <c r="K44" s="35">
        <v>6261</v>
      </c>
      <c r="L44" s="35">
        <v>5444.8</v>
      </c>
      <c r="M44" s="35">
        <v>5899</v>
      </c>
      <c r="N44" s="35">
        <v>6332</v>
      </c>
    </row>
    <row r="45" spans="2:14" ht="15" thickBot="1" x14ac:dyDescent="0.35">
      <c r="B45" s="28" t="s">
        <v>7</v>
      </c>
      <c r="C45" s="19">
        <v>246</v>
      </c>
      <c r="D45" s="6">
        <v>222</v>
      </c>
      <c r="E45" s="6">
        <v>164</v>
      </c>
      <c r="F45" s="6">
        <v>230</v>
      </c>
      <c r="G45" s="6">
        <v>189</v>
      </c>
      <c r="H45" s="35">
        <v>170</v>
      </c>
      <c r="I45" s="35">
        <v>175</v>
      </c>
      <c r="J45" s="35">
        <v>175</v>
      </c>
      <c r="K45" s="35">
        <v>162</v>
      </c>
      <c r="L45" s="35">
        <v>176</v>
      </c>
      <c r="M45" s="35">
        <v>170</v>
      </c>
      <c r="N45" s="35">
        <v>164</v>
      </c>
    </row>
    <row r="46" spans="2:14" ht="23.4" thickBot="1" x14ac:dyDescent="0.35">
      <c r="B46" s="29"/>
      <c r="C46" s="19"/>
      <c r="D46" s="6"/>
      <c r="E46" s="6"/>
      <c r="F46" s="6"/>
      <c r="G46" s="6"/>
      <c r="H46" s="35"/>
      <c r="I46" s="35"/>
      <c r="J46" s="35"/>
      <c r="K46" s="35"/>
      <c r="L46" s="35"/>
      <c r="M46" s="35"/>
      <c r="N46" s="35"/>
    </row>
    <row r="47" spans="2:14" ht="15" thickBot="1" x14ac:dyDescent="0.35">
      <c r="B47" s="28" t="s">
        <v>18</v>
      </c>
      <c r="C47" s="37">
        <f>(C42/$C$6)*100</f>
        <v>43.83379394292087</v>
      </c>
      <c r="D47" s="37">
        <f>(D42/$C$6)*100</f>
        <v>45.643290667049499</v>
      </c>
      <c r="E47" s="37">
        <f t="shared" ref="E47:N47" si="20">(E42/$C$6)*100</f>
        <v>48.9725775544876</v>
      </c>
      <c r="F47" s="37">
        <f t="shared" si="20"/>
        <v>45.893929486523596</v>
      </c>
      <c r="G47" s="37">
        <f t="shared" si="20"/>
        <v>50.579857448414835</v>
      </c>
      <c r="H47" s="37">
        <f t="shared" si="20"/>
        <v>52.926122928629042</v>
      </c>
      <c r="I47" s="37">
        <f t="shared" si="20"/>
        <v>53.381454702755981</v>
      </c>
      <c r="J47" s="37">
        <f t="shared" si="20"/>
        <v>53.381454702755981</v>
      </c>
      <c r="K47" s="37">
        <f t="shared" si="20"/>
        <v>55.686176317173718</v>
      </c>
      <c r="L47" s="37">
        <f t="shared" si="20"/>
        <v>53.467018558800369</v>
      </c>
      <c r="M47" s="37">
        <f t="shared" si="20"/>
        <v>54.700678785498368</v>
      </c>
      <c r="N47" s="37">
        <f t="shared" si="20"/>
        <v>55.878213524630269</v>
      </c>
    </row>
    <row r="48" spans="2:14" ht="15" thickBot="1" x14ac:dyDescent="0.35">
      <c r="B48" s="28" t="s">
        <v>19</v>
      </c>
      <c r="C48" s="37">
        <f>C41/$C$7*100</f>
        <v>57.8578983894934</v>
      </c>
      <c r="D48" s="37">
        <f>D41/$C$7*100</f>
        <v>55.842405661463147</v>
      </c>
      <c r="E48" s="37">
        <f t="shared" ref="E48:N48" si="21">E41/$C$7*100</f>
        <v>52.132490475541061</v>
      </c>
      <c r="F48" s="37">
        <f t="shared" si="21"/>
        <v>55.563022740915279</v>
      </c>
      <c r="G48" s="37">
        <f t="shared" si="21"/>
        <v>50.34278264715654</v>
      </c>
      <c r="H48" s="37">
        <f t="shared" si="21"/>
        <v>47.729167077174864</v>
      </c>
      <c r="I48" s="37">
        <f t="shared" si="21"/>
        <v>47.221668908246386</v>
      </c>
      <c r="J48" s="37">
        <f t="shared" si="21"/>
        <v>47.221668908246386</v>
      </c>
      <c r="K48" s="37">
        <f t="shared" si="21"/>
        <v>44.653883530050585</v>
      </c>
      <c r="L48" s="37">
        <f t="shared" si="21"/>
        <v>47.127419248302516</v>
      </c>
      <c r="M48" s="37">
        <f t="shared" si="21"/>
        <v>45.749924218353783</v>
      </c>
      <c r="N48" s="37">
        <f t="shared" si="21"/>
        <v>44.439750374079232</v>
      </c>
    </row>
    <row r="49" spans="2:14" ht="15" thickBot="1" x14ac:dyDescent="0.35">
      <c r="B49" s="28" t="s">
        <v>20</v>
      </c>
      <c r="C49" s="37">
        <f>(($C$6-C40-C44)/$C$6)*100</f>
        <v>38.599817102443026</v>
      </c>
      <c r="D49" s="37">
        <f>(($C$6-D40-D44)/$C$6)*100</f>
        <v>38.578082232258112</v>
      </c>
      <c r="E49" s="37">
        <f t="shared" ref="E49:N49" si="22">(($C$6-E40-E44)/$C$6)*100</f>
        <v>38.538464241034973</v>
      </c>
      <c r="F49" s="37">
        <f t="shared" si="22"/>
        <v>38.575606107806657</v>
      </c>
      <c r="G49" s="37">
        <f t="shared" si="22"/>
        <v>38.520581119996763</v>
      </c>
      <c r="H49" s="37">
        <f t="shared" si="22"/>
        <v>38.493618875969908</v>
      </c>
      <c r="I49" s="37">
        <f t="shared" si="22"/>
        <v>38.487841252249872</v>
      </c>
      <c r="J49" s="37">
        <f t="shared" si="22"/>
        <v>38.487841252249872</v>
      </c>
      <c r="K49" s="37">
        <f t="shared" si="22"/>
        <v>38.460603883283966</v>
      </c>
      <c r="L49" s="37">
        <f t="shared" si="22"/>
        <v>38.487015877432718</v>
      </c>
      <c r="M49" s="37">
        <f t="shared" si="22"/>
        <v>38.471058630967846</v>
      </c>
      <c r="N49" s="37">
        <f t="shared" si="22"/>
        <v>38.457302384015371</v>
      </c>
    </row>
    <row r="50" spans="2:14" ht="15" thickBot="1" x14ac:dyDescent="0.35">
      <c r="B50" s="28" t="s">
        <v>21</v>
      </c>
      <c r="C50" s="37">
        <f>(C40/$C$6)*100</f>
        <v>56.16620605707913</v>
      </c>
      <c r="D50" s="37">
        <f>(D40/$C$6)*100</f>
        <v>54.356709332950501</v>
      </c>
      <c r="E50" s="37">
        <f t="shared" ref="E50:N50" si="23">(E40/$C$6)*100</f>
        <v>51.027422445512407</v>
      </c>
      <c r="F50" s="37">
        <f t="shared" si="23"/>
        <v>54.106070513476404</v>
      </c>
      <c r="G50" s="37">
        <f t="shared" si="23"/>
        <v>49.420142551585165</v>
      </c>
      <c r="H50" s="37">
        <f t="shared" si="23"/>
        <v>47.073877071370958</v>
      </c>
      <c r="I50" s="37">
        <f t="shared" si="23"/>
        <v>46.618545297244026</v>
      </c>
      <c r="J50" s="37">
        <f t="shared" si="23"/>
        <v>46.618545297244026</v>
      </c>
      <c r="K50" s="37">
        <f t="shared" si="23"/>
        <v>44.313823682826289</v>
      </c>
      <c r="L50" s="37">
        <f t="shared" si="23"/>
        <v>46.532981441199631</v>
      </c>
      <c r="M50" s="37">
        <f t="shared" si="23"/>
        <v>45.299321214501624</v>
      </c>
      <c r="N50" s="37">
        <f t="shared" si="23"/>
        <v>44.121786475369731</v>
      </c>
    </row>
    <row r="51" spans="2:14" ht="15" thickBot="1" x14ac:dyDescent="0.35">
      <c r="B51" s="28" t="s">
        <v>22</v>
      </c>
      <c r="C51" s="37">
        <f>(C44/$C$6)*100</f>
        <v>5.2339768404778564</v>
      </c>
      <c r="D51" s="37">
        <f>(D44/$C$6)*100</f>
        <v>7.065208434791387</v>
      </c>
      <c r="E51" s="37">
        <f t="shared" ref="E51:N51" si="24">(E44/$C$6)*100</f>
        <v>10.434113313452622</v>
      </c>
      <c r="F51" s="37">
        <f t="shared" si="24"/>
        <v>7.3183233787169346</v>
      </c>
      <c r="G51" s="37">
        <f t="shared" si="24"/>
        <v>12.05927632841807</v>
      </c>
      <c r="H51" s="37">
        <f t="shared" si="24"/>
        <v>14.432504052659134</v>
      </c>
      <c r="I51" s="37">
        <f t="shared" si="24"/>
        <v>14.893613450506111</v>
      </c>
      <c r="J51" s="37">
        <f t="shared" si="24"/>
        <v>14.893613450506111</v>
      </c>
      <c r="K51" s="37">
        <f t="shared" si="24"/>
        <v>17.225572433889745</v>
      </c>
      <c r="L51" s="37">
        <f t="shared" si="24"/>
        <v>14.980002681367658</v>
      </c>
      <c r="M51" s="37">
        <f t="shared" si="24"/>
        <v>16.229620154530526</v>
      </c>
      <c r="N51" s="37">
        <f t="shared" si="24"/>
        <v>17.420911140614898</v>
      </c>
    </row>
    <row r="52" spans="2:14" ht="23.4" thickBot="1" x14ac:dyDescent="0.35">
      <c r="B52" s="29"/>
      <c r="C52" s="19"/>
      <c r="D52" s="6"/>
      <c r="E52" s="6"/>
      <c r="F52" s="6"/>
      <c r="G52" s="6"/>
      <c r="H52" s="35"/>
      <c r="I52" s="35"/>
      <c r="J52" s="35"/>
      <c r="K52" s="35"/>
      <c r="L52" s="35"/>
      <c r="M52" s="35"/>
      <c r="N52" s="35"/>
    </row>
    <row r="53" spans="2:14" ht="15" thickBot="1" x14ac:dyDescent="0.35">
      <c r="B53" s="28" t="s">
        <v>8</v>
      </c>
      <c r="C53" s="19"/>
      <c r="D53" s="6"/>
      <c r="E53" s="6"/>
      <c r="F53" s="6"/>
      <c r="G53" s="6"/>
      <c r="H53" s="35"/>
      <c r="I53" s="35"/>
      <c r="J53" s="35"/>
      <c r="K53" s="35"/>
      <c r="L53" s="35"/>
      <c r="M53" s="35"/>
      <c r="N53" s="35"/>
    </row>
    <row r="54" spans="2:14" ht="15" thickBot="1" x14ac:dyDescent="0.35">
      <c r="B54" s="28" t="s">
        <v>9</v>
      </c>
      <c r="C54" s="19"/>
      <c r="D54" s="6"/>
      <c r="E54" s="6"/>
      <c r="F54" s="6"/>
      <c r="G54" s="6"/>
      <c r="H54" s="35"/>
      <c r="I54" s="35"/>
      <c r="J54" s="35"/>
      <c r="K54" s="35"/>
      <c r="L54" s="35"/>
      <c r="M54" s="35"/>
      <c r="N54" s="35"/>
    </row>
    <row r="55" spans="2:14" ht="23.4" thickBot="1" x14ac:dyDescent="0.35">
      <c r="B55" s="29"/>
      <c r="C55" s="19"/>
      <c r="D55" s="6"/>
      <c r="E55" s="6"/>
      <c r="F55" s="6"/>
      <c r="G55" s="6"/>
      <c r="H55" s="35"/>
      <c r="I55" s="35"/>
      <c r="J55" s="35"/>
      <c r="K55" s="35"/>
      <c r="L55" s="35"/>
      <c r="M55" s="35"/>
      <c r="N55" s="35"/>
    </row>
    <row r="56" spans="2:14" ht="15" thickBot="1" x14ac:dyDescent="0.35">
      <c r="B56" s="28" t="s">
        <v>10</v>
      </c>
      <c r="C56" s="19"/>
      <c r="D56" s="6"/>
      <c r="E56" s="6"/>
      <c r="F56" s="6"/>
      <c r="G56" s="6"/>
      <c r="H56" s="35"/>
      <c r="I56" s="35"/>
      <c r="J56" s="35"/>
      <c r="K56" s="35"/>
      <c r="L56" s="35"/>
      <c r="M56" s="35"/>
      <c r="N56" s="35"/>
    </row>
    <row r="57" spans="2:14" ht="15" thickBot="1" x14ac:dyDescent="0.35">
      <c r="B57" s="28" t="s">
        <v>11</v>
      </c>
      <c r="C57" s="19"/>
      <c r="D57" s="6"/>
      <c r="E57" s="6"/>
      <c r="F57" s="6"/>
      <c r="G57" s="6"/>
      <c r="H57" s="35"/>
      <c r="I57" s="35"/>
      <c r="J57" s="35"/>
      <c r="K57" s="35"/>
      <c r="L57" s="35"/>
      <c r="M57" s="35"/>
      <c r="N57" s="35"/>
    </row>
    <row r="58" spans="2:14" ht="23.4" thickBot="1" x14ac:dyDescent="0.35">
      <c r="B58" s="29"/>
      <c r="C58" s="19"/>
      <c r="D58" s="6"/>
      <c r="E58" s="6"/>
      <c r="F58" s="6"/>
      <c r="G58" s="6"/>
      <c r="H58" s="35"/>
      <c r="I58" s="35"/>
      <c r="J58" s="35"/>
      <c r="K58" s="35"/>
      <c r="L58" s="35"/>
      <c r="M58" s="35"/>
      <c r="N58" s="35"/>
    </row>
    <row r="59" spans="2:14" ht="23.4" thickBot="1" x14ac:dyDescent="0.35">
      <c r="B59" s="29"/>
      <c r="C59" s="19"/>
      <c r="D59" s="6"/>
      <c r="E59" s="6"/>
      <c r="F59" s="6"/>
      <c r="G59" s="6"/>
      <c r="H59" s="35"/>
      <c r="I59" s="35"/>
      <c r="J59" s="35"/>
      <c r="K59" s="35"/>
      <c r="L59" s="35"/>
      <c r="M59" s="35"/>
      <c r="N59" s="35"/>
    </row>
    <row r="60" spans="2:14" ht="15" thickBot="1" x14ac:dyDescent="0.35">
      <c r="B60" s="30" t="s">
        <v>12</v>
      </c>
      <c r="C60" s="20"/>
      <c r="D60" s="21"/>
      <c r="E60" s="21"/>
      <c r="F60" s="21"/>
      <c r="G60" s="21"/>
      <c r="H60" s="36"/>
      <c r="I60" s="36"/>
      <c r="J60" s="36"/>
      <c r="K60" s="36"/>
      <c r="L60" s="36"/>
      <c r="M60" s="36"/>
      <c r="N60" s="36"/>
    </row>
    <row r="68" spans="2:26" ht="15" thickBot="1" x14ac:dyDescent="0.35"/>
    <row r="69" spans="2:26" ht="15" thickBot="1" x14ac:dyDescent="0.35">
      <c r="B69" s="26" t="s">
        <v>13</v>
      </c>
      <c r="C69" s="41">
        <v>2</v>
      </c>
      <c r="D69" s="41">
        <v>3</v>
      </c>
      <c r="E69" s="41">
        <v>6</v>
      </c>
      <c r="F69" s="41">
        <v>8</v>
      </c>
      <c r="G69" s="41">
        <v>9</v>
      </c>
      <c r="H69" s="41">
        <v>10</v>
      </c>
      <c r="I69" s="42">
        <v>2</v>
      </c>
      <c r="J69" s="42">
        <v>3</v>
      </c>
      <c r="K69" s="42">
        <v>6</v>
      </c>
      <c r="L69" s="42">
        <v>8</v>
      </c>
      <c r="M69" s="42">
        <v>9</v>
      </c>
      <c r="N69" s="42">
        <v>10</v>
      </c>
      <c r="O69" s="43">
        <v>2</v>
      </c>
      <c r="P69" s="43">
        <v>3</v>
      </c>
      <c r="Q69" s="43">
        <v>6</v>
      </c>
      <c r="R69" s="43">
        <v>8</v>
      </c>
      <c r="S69" s="43">
        <v>9</v>
      </c>
      <c r="T69" s="43">
        <v>10</v>
      </c>
      <c r="U69" s="44">
        <v>2</v>
      </c>
      <c r="V69" s="44">
        <v>3</v>
      </c>
      <c r="W69" s="44">
        <v>6</v>
      </c>
      <c r="X69" s="44">
        <v>8</v>
      </c>
      <c r="Y69" s="44">
        <v>9</v>
      </c>
      <c r="Z69" s="44">
        <v>10</v>
      </c>
    </row>
    <row r="70" spans="2:26" ht="15" thickBot="1" x14ac:dyDescent="0.35">
      <c r="B70" s="27" t="s">
        <v>14</v>
      </c>
      <c r="C70" s="45">
        <f t="shared" ref="C70:Z70" si="25">4070*C69</f>
        <v>8140</v>
      </c>
      <c r="D70" s="41">
        <f t="shared" si="25"/>
        <v>12210</v>
      </c>
      <c r="E70" s="41">
        <f t="shared" si="25"/>
        <v>24420</v>
      </c>
      <c r="F70" s="41">
        <f t="shared" si="25"/>
        <v>32560</v>
      </c>
      <c r="G70" s="41">
        <f t="shared" si="25"/>
        <v>36630</v>
      </c>
      <c r="H70" s="41">
        <f t="shared" si="25"/>
        <v>40700</v>
      </c>
      <c r="I70" s="42">
        <f t="shared" si="25"/>
        <v>8140</v>
      </c>
      <c r="J70" s="42">
        <f t="shared" si="25"/>
        <v>12210</v>
      </c>
      <c r="K70" s="42">
        <f t="shared" si="25"/>
        <v>24420</v>
      </c>
      <c r="L70" s="42">
        <f t="shared" si="25"/>
        <v>32560</v>
      </c>
      <c r="M70" s="42">
        <f t="shared" si="25"/>
        <v>36630</v>
      </c>
      <c r="N70" s="42">
        <f t="shared" si="25"/>
        <v>40700</v>
      </c>
      <c r="O70" s="43">
        <f t="shared" si="25"/>
        <v>8140</v>
      </c>
      <c r="P70" s="43">
        <f t="shared" si="25"/>
        <v>12210</v>
      </c>
      <c r="Q70" s="43">
        <f t="shared" si="25"/>
        <v>24420</v>
      </c>
      <c r="R70" s="43">
        <f t="shared" si="25"/>
        <v>32560</v>
      </c>
      <c r="S70" s="43">
        <f t="shared" si="25"/>
        <v>36630</v>
      </c>
      <c r="T70" s="43">
        <f t="shared" si="25"/>
        <v>40700</v>
      </c>
      <c r="U70" s="44">
        <f t="shared" si="25"/>
        <v>8140</v>
      </c>
      <c r="V70" s="44">
        <f t="shared" si="25"/>
        <v>12210</v>
      </c>
      <c r="W70" s="44">
        <f t="shared" si="25"/>
        <v>24420</v>
      </c>
      <c r="X70" s="44">
        <f t="shared" si="25"/>
        <v>32560</v>
      </c>
      <c r="Y70" s="44">
        <f t="shared" si="25"/>
        <v>36630</v>
      </c>
      <c r="Z70" s="44">
        <f t="shared" si="25"/>
        <v>40700</v>
      </c>
    </row>
    <row r="71" spans="2:26" ht="15" thickBot="1" x14ac:dyDescent="0.35">
      <c r="B71" s="27" t="s">
        <v>15</v>
      </c>
      <c r="C71" s="46">
        <v>2035</v>
      </c>
      <c r="D71" s="41">
        <v>2035</v>
      </c>
      <c r="E71" s="41">
        <v>2035</v>
      </c>
      <c r="F71" s="41">
        <v>2035</v>
      </c>
      <c r="G71" s="41">
        <v>2035</v>
      </c>
      <c r="H71" s="41">
        <v>2035</v>
      </c>
      <c r="I71" s="42">
        <v>4070</v>
      </c>
      <c r="J71" s="42">
        <v>4070</v>
      </c>
      <c r="K71" s="42">
        <v>4070</v>
      </c>
      <c r="L71" s="42">
        <v>4070</v>
      </c>
      <c r="M71" s="42">
        <v>4070</v>
      </c>
      <c r="N71" s="42">
        <v>4070</v>
      </c>
      <c r="O71" s="43">
        <v>6105</v>
      </c>
      <c r="P71" s="43">
        <v>6105</v>
      </c>
      <c r="Q71" s="43">
        <v>6105</v>
      </c>
      <c r="R71" s="43">
        <v>6105</v>
      </c>
      <c r="S71" s="43">
        <v>6105</v>
      </c>
      <c r="T71" s="43">
        <v>6105</v>
      </c>
      <c r="U71" s="44">
        <v>8140</v>
      </c>
      <c r="V71" s="44">
        <v>8140</v>
      </c>
      <c r="W71" s="44">
        <v>8140</v>
      </c>
      <c r="X71" s="44">
        <v>8140</v>
      </c>
      <c r="Y71" s="44">
        <v>8140</v>
      </c>
      <c r="Z71" s="44">
        <v>8140</v>
      </c>
    </row>
    <row r="72" spans="2:26" ht="15" thickBot="1" x14ac:dyDescent="0.35">
      <c r="B72" s="28"/>
      <c r="C72" s="47"/>
      <c r="D72" s="41"/>
      <c r="E72" s="41"/>
      <c r="F72" s="41"/>
      <c r="G72" s="41"/>
      <c r="H72" s="41"/>
      <c r="I72" s="42"/>
      <c r="J72" s="42"/>
      <c r="K72" s="42"/>
      <c r="L72" s="42"/>
      <c r="M72" s="42"/>
      <c r="N72" s="42"/>
      <c r="O72" s="43"/>
      <c r="P72" s="43"/>
      <c r="Q72" s="43"/>
      <c r="R72" s="43"/>
      <c r="S72" s="43"/>
      <c r="T72" s="43"/>
      <c r="U72" s="44"/>
      <c r="V72" s="44"/>
      <c r="W72" s="44"/>
      <c r="X72" s="44"/>
      <c r="Y72" s="44"/>
      <c r="Z72" s="44"/>
    </row>
    <row r="73" spans="2:26" ht="15" thickBot="1" x14ac:dyDescent="0.35">
      <c r="B73" s="28" t="s">
        <v>0</v>
      </c>
      <c r="C73" s="48">
        <v>36347.123</v>
      </c>
      <c r="D73" s="41">
        <v>36347.123</v>
      </c>
      <c r="E73" s="41">
        <v>36347.123</v>
      </c>
      <c r="F73" s="41">
        <v>36347.123</v>
      </c>
      <c r="G73" s="41">
        <v>36347.123</v>
      </c>
      <c r="H73" s="41">
        <v>36347.123</v>
      </c>
      <c r="I73" s="42">
        <v>36347.123</v>
      </c>
      <c r="J73" s="42">
        <v>36347.123</v>
      </c>
      <c r="K73" s="42">
        <v>36347.123</v>
      </c>
      <c r="L73" s="42">
        <v>36347.123</v>
      </c>
      <c r="M73" s="42">
        <v>36347.123</v>
      </c>
      <c r="N73" s="42">
        <v>36347.123</v>
      </c>
      <c r="O73" s="43">
        <v>36347.123</v>
      </c>
      <c r="P73" s="43">
        <v>36347.123</v>
      </c>
      <c r="Q73" s="43">
        <v>36347.123</v>
      </c>
      <c r="R73" s="43">
        <v>36347.123</v>
      </c>
      <c r="S73" s="43">
        <v>36347.123</v>
      </c>
      <c r="T73" s="43">
        <v>36347.123</v>
      </c>
      <c r="U73" s="44">
        <v>36347.123</v>
      </c>
      <c r="V73" s="44">
        <v>36347.123</v>
      </c>
      <c r="W73" s="44">
        <v>36347.123</v>
      </c>
      <c r="X73" s="44">
        <v>36347.123</v>
      </c>
      <c r="Y73" s="44">
        <v>36347.123</v>
      </c>
      <c r="Z73" s="44">
        <v>36347.123</v>
      </c>
    </row>
    <row r="74" spans="2:26" ht="15" thickBot="1" x14ac:dyDescent="0.35">
      <c r="B74" s="28" t="s">
        <v>1</v>
      </c>
      <c r="C74" s="48">
        <v>38620.828999999998</v>
      </c>
      <c r="D74" s="41">
        <v>38620.828999999998</v>
      </c>
      <c r="E74" s="41">
        <v>38620.828999999998</v>
      </c>
      <c r="F74" s="41">
        <v>38620.828999999998</v>
      </c>
      <c r="G74" s="41">
        <v>38620.828999999998</v>
      </c>
      <c r="H74" s="41">
        <v>38620.828999999998</v>
      </c>
      <c r="I74" s="42">
        <v>38620.828999999998</v>
      </c>
      <c r="J74" s="42">
        <v>38620.828999999998</v>
      </c>
      <c r="K74" s="42">
        <v>38620.828999999998</v>
      </c>
      <c r="L74" s="42">
        <v>38620.828999999998</v>
      </c>
      <c r="M74" s="42">
        <v>38620.828999999998</v>
      </c>
      <c r="N74" s="42">
        <v>38620.828999999998</v>
      </c>
      <c r="O74" s="43">
        <v>38620.828999999998</v>
      </c>
      <c r="P74" s="43">
        <v>38620.828999999998</v>
      </c>
      <c r="Q74" s="43">
        <v>38620.828999999998</v>
      </c>
      <c r="R74" s="43">
        <v>38620.828999999998</v>
      </c>
      <c r="S74" s="43">
        <v>38620.828999999998</v>
      </c>
      <c r="T74" s="43">
        <v>38620.828999999998</v>
      </c>
      <c r="U74" s="44">
        <v>38620.828999999998</v>
      </c>
      <c r="V74" s="44">
        <v>38620.828999999998</v>
      </c>
      <c r="W74" s="44">
        <v>38620.828999999998</v>
      </c>
      <c r="X74" s="44">
        <v>38620.828999999998</v>
      </c>
      <c r="Y74" s="44">
        <v>38620.828999999998</v>
      </c>
      <c r="Z74" s="44">
        <v>38620.828999999998</v>
      </c>
    </row>
    <row r="75" spans="2:26" ht="15" thickBot="1" x14ac:dyDescent="0.35">
      <c r="B75" s="28" t="s">
        <v>2</v>
      </c>
      <c r="C75" s="49">
        <v>20414.8</v>
      </c>
      <c r="D75" s="41">
        <v>19757.099999999999</v>
      </c>
      <c r="E75" s="41">
        <v>18546.599999999999</v>
      </c>
      <c r="F75" s="41">
        <v>18256</v>
      </c>
      <c r="G75" s="41">
        <v>18166.2</v>
      </c>
      <c r="H75" s="41">
        <v>18087.3</v>
      </c>
      <c r="I75" s="42">
        <v>20378.2</v>
      </c>
      <c r="J75" s="42">
        <v>19666</v>
      </c>
      <c r="K75" s="42">
        <v>17963</v>
      </c>
      <c r="L75" s="42">
        <v>17110.099999999999</v>
      </c>
      <c r="M75" s="42">
        <v>16744</v>
      </c>
      <c r="N75" s="42">
        <v>16413</v>
      </c>
      <c r="O75" s="43">
        <v>20378</v>
      </c>
      <c r="P75" s="43">
        <v>19658.099999999999</v>
      </c>
      <c r="Q75" s="43">
        <v>17892</v>
      </c>
      <c r="R75" s="43">
        <v>16944.5</v>
      </c>
      <c r="S75" s="43">
        <v>16516.400000000001</v>
      </c>
      <c r="T75" s="43">
        <v>16106.8</v>
      </c>
      <c r="U75" s="44">
        <v>20377.7</v>
      </c>
      <c r="V75" s="44">
        <v>19658</v>
      </c>
      <c r="W75" s="44">
        <v>17880.8</v>
      </c>
      <c r="X75" s="44">
        <v>16913.400000000001</v>
      </c>
      <c r="Y75" s="44">
        <v>16464.599999999999</v>
      </c>
      <c r="Z75" s="44">
        <v>16036.7</v>
      </c>
    </row>
    <row r="76" spans="2:26" ht="15" thickBot="1" x14ac:dyDescent="0.35">
      <c r="B76" s="28" t="s">
        <v>3</v>
      </c>
      <c r="C76" s="50">
        <v>22345.200000000001</v>
      </c>
      <c r="D76" s="41">
        <v>21566.7</v>
      </c>
      <c r="E76" s="41">
        <v>20133.7</v>
      </c>
      <c r="F76" s="41">
        <v>19789</v>
      </c>
      <c r="G76" s="41">
        <v>19682.900000000001</v>
      </c>
      <c r="H76" s="41">
        <v>19589.2</v>
      </c>
      <c r="I76" s="42">
        <v>22301.8</v>
      </c>
      <c r="J76" s="42">
        <v>21458.9</v>
      </c>
      <c r="K76" s="42">
        <v>19442.8</v>
      </c>
      <c r="L76" s="42">
        <v>18433.400000000001</v>
      </c>
      <c r="M76" s="42">
        <v>18000</v>
      </c>
      <c r="N76" s="42">
        <v>17608</v>
      </c>
      <c r="O76" s="43">
        <v>22301.4</v>
      </c>
      <c r="P76" s="43">
        <v>21449.599999999999</v>
      </c>
      <c r="Q76" s="43">
        <v>19360</v>
      </c>
      <c r="R76" s="43">
        <v>18237.400000000001</v>
      </c>
      <c r="S76" s="43">
        <v>17730.599999999999</v>
      </c>
      <c r="T76" s="43">
        <v>17245.7</v>
      </c>
      <c r="U76" s="44">
        <v>20301.3</v>
      </c>
      <c r="V76" s="44">
        <v>21449.5</v>
      </c>
      <c r="W76" s="44">
        <v>19345.8</v>
      </c>
      <c r="X76" s="44">
        <v>18200.599999999999</v>
      </c>
      <c r="Y76" s="44">
        <v>17669</v>
      </c>
      <c r="Z76" s="44">
        <v>17163</v>
      </c>
    </row>
    <row r="77" spans="2:26" ht="15" thickBot="1" x14ac:dyDescent="0.35">
      <c r="B77" s="28" t="s">
        <v>4</v>
      </c>
      <c r="C77" s="50">
        <f>$C$6-C75</f>
        <v>15932.323</v>
      </c>
      <c r="D77" s="41">
        <f>$C$6-D75</f>
        <v>16590.023000000001</v>
      </c>
      <c r="E77" s="41">
        <f t="shared" ref="E77:H77" si="26">$C$6-E75</f>
        <v>17800.523000000001</v>
      </c>
      <c r="F77" s="41">
        <f t="shared" si="26"/>
        <v>18091.123</v>
      </c>
      <c r="G77" s="41">
        <f t="shared" si="26"/>
        <v>18180.922999999999</v>
      </c>
      <c r="H77" s="41">
        <f t="shared" si="26"/>
        <v>18259.823</v>
      </c>
      <c r="I77" s="42">
        <f>$C$6-I75</f>
        <v>15968.922999999999</v>
      </c>
      <c r="J77" s="42">
        <f t="shared" ref="J77:N77" si="27">$C$6-J75</f>
        <v>16681.123</v>
      </c>
      <c r="K77" s="42">
        <f t="shared" si="27"/>
        <v>18384.123</v>
      </c>
      <c r="L77" s="42">
        <f t="shared" si="27"/>
        <v>19237.023000000001</v>
      </c>
      <c r="M77" s="42">
        <f t="shared" si="27"/>
        <v>19603.123</v>
      </c>
      <c r="N77" s="42">
        <f t="shared" si="27"/>
        <v>19934.123</v>
      </c>
      <c r="O77" s="43">
        <f>$C$6-O75</f>
        <v>15969.123</v>
      </c>
      <c r="P77" s="43">
        <f t="shared" ref="P77:T77" si="28">$C$6-P75</f>
        <v>16689.023000000001</v>
      </c>
      <c r="Q77" s="43">
        <f t="shared" si="28"/>
        <v>18455.123</v>
      </c>
      <c r="R77" s="43">
        <f t="shared" si="28"/>
        <v>19402.623</v>
      </c>
      <c r="S77" s="43">
        <f t="shared" si="28"/>
        <v>19830.722999999998</v>
      </c>
      <c r="T77" s="43">
        <f t="shared" si="28"/>
        <v>20240.323</v>
      </c>
      <c r="U77" s="44">
        <f>$C$6-U75</f>
        <v>15969.422999999999</v>
      </c>
      <c r="V77" s="44">
        <f t="shared" ref="V77" si="29">$C$6-V75</f>
        <v>16689.123</v>
      </c>
      <c r="W77" s="44">
        <f>$C$6-W75</f>
        <v>18466.323</v>
      </c>
      <c r="X77" s="44">
        <f t="shared" ref="X77:Z77" si="30">$C$6-X75</f>
        <v>19433.722999999998</v>
      </c>
      <c r="Y77" s="44">
        <f t="shared" si="30"/>
        <v>19882.523000000001</v>
      </c>
      <c r="Z77" s="44">
        <f t="shared" si="30"/>
        <v>20310.422999999999</v>
      </c>
    </row>
    <row r="78" spans="2:26" ht="15" thickBot="1" x14ac:dyDescent="0.35">
      <c r="B78" s="28" t="s">
        <v>5</v>
      </c>
      <c r="C78" s="50">
        <v>2112.4</v>
      </c>
      <c r="D78" s="41">
        <v>2852</v>
      </c>
      <c r="E78" s="41">
        <v>4213.3999999999996</v>
      </c>
      <c r="F78" s="41">
        <v>4540.3999999999996</v>
      </c>
      <c r="G78" s="41">
        <v>4641.6000000000004</v>
      </c>
      <c r="H78" s="41">
        <v>4730.6000000000004</v>
      </c>
      <c r="I78" s="42">
        <v>2153.6</v>
      </c>
      <c r="J78" s="42">
        <v>2954.4</v>
      </c>
      <c r="K78" s="42">
        <v>4870</v>
      </c>
      <c r="L78" s="42">
        <v>5828.7</v>
      </c>
      <c r="M78" s="42">
        <v>6239.8</v>
      </c>
      <c r="N78" s="42">
        <v>6612.7</v>
      </c>
      <c r="O78" s="43">
        <v>2154</v>
      </c>
      <c r="P78" s="43">
        <v>2963.2</v>
      </c>
      <c r="Q78" s="43">
        <v>4949.3</v>
      </c>
      <c r="R78" s="43">
        <v>6014.8</v>
      </c>
      <c r="S78" s="43">
        <v>6496.3</v>
      </c>
      <c r="T78" s="43">
        <v>6946</v>
      </c>
      <c r="U78" s="44">
        <v>2154</v>
      </c>
      <c r="V78" s="44">
        <v>2963.2</v>
      </c>
      <c r="W78" s="44">
        <v>4962</v>
      </c>
      <c r="X78" s="44">
        <v>6049.7</v>
      </c>
      <c r="Y78" s="44">
        <v>6554.6</v>
      </c>
      <c r="Z78" s="44">
        <v>7036</v>
      </c>
    </row>
    <row r="79" spans="2:26" ht="15" thickBot="1" x14ac:dyDescent="0.35">
      <c r="B79" s="28" t="s">
        <v>6</v>
      </c>
      <c r="C79" s="50">
        <v>1902.4</v>
      </c>
      <c r="D79" s="41">
        <v>2568</v>
      </c>
      <c r="E79" s="41">
        <v>3792.5</v>
      </c>
      <c r="F79" s="41">
        <v>4086.4</v>
      </c>
      <c r="G79" s="41">
        <v>4177.3</v>
      </c>
      <c r="H79" s="41">
        <v>4257.2</v>
      </c>
      <c r="I79" s="42">
        <v>1940</v>
      </c>
      <c r="J79" s="42">
        <v>2660</v>
      </c>
      <c r="K79" s="42">
        <v>4383.1000000000004</v>
      </c>
      <c r="L79" s="42">
        <v>5245.8</v>
      </c>
      <c r="M79" s="42">
        <v>5615.7</v>
      </c>
      <c r="N79" s="42">
        <v>5951</v>
      </c>
      <c r="O79" s="43">
        <v>1940</v>
      </c>
      <c r="P79" s="43">
        <v>2668</v>
      </c>
      <c r="Q79" s="43">
        <v>4454.8</v>
      </c>
      <c r="R79" s="43">
        <v>5413.4</v>
      </c>
      <c r="S79" s="43">
        <v>5846.5</v>
      </c>
      <c r="T79" s="43">
        <v>6261</v>
      </c>
      <c r="U79" s="44">
        <v>1940</v>
      </c>
      <c r="V79" s="44">
        <v>2668</v>
      </c>
      <c r="W79" s="44">
        <v>4466</v>
      </c>
      <c r="X79" s="44">
        <v>5444.8</v>
      </c>
      <c r="Y79" s="44">
        <v>5898.9</v>
      </c>
      <c r="Z79" s="44">
        <v>6332</v>
      </c>
    </row>
    <row r="80" spans="2:26" ht="15" thickBot="1" x14ac:dyDescent="0.35">
      <c r="B80" s="28" t="s">
        <v>7</v>
      </c>
      <c r="C80" s="50">
        <v>246</v>
      </c>
      <c r="D80" s="41">
        <v>222</v>
      </c>
      <c r="E80" s="41">
        <v>164</v>
      </c>
      <c r="F80" s="41">
        <v>132</v>
      </c>
      <c r="G80" s="41">
        <v>120</v>
      </c>
      <c r="H80" s="41">
        <v>110</v>
      </c>
      <c r="I80" s="42">
        <v>251</v>
      </c>
      <c r="J80" s="42">
        <v>230</v>
      </c>
      <c r="K80" s="42">
        <v>189</v>
      </c>
      <c r="L80" s="42">
        <v>170</v>
      </c>
      <c r="M80" s="42">
        <v>162</v>
      </c>
      <c r="N80" s="42">
        <v>154</v>
      </c>
      <c r="O80" s="43">
        <v>251</v>
      </c>
      <c r="P80" s="43">
        <v>230</v>
      </c>
      <c r="Q80" s="43">
        <v>192</v>
      </c>
      <c r="R80" s="43">
        <v>175</v>
      </c>
      <c r="S80" s="43">
        <v>168</v>
      </c>
      <c r="T80" s="43">
        <v>162</v>
      </c>
      <c r="U80" s="44">
        <v>251</v>
      </c>
      <c r="V80" s="44">
        <v>230</v>
      </c>
      <c r="W80" s="44">
        <v>193</v>
      </c>
      <c r="X80" s="44">
        <v>176</v>
      </c>
      <c r="Y80" s="44">
        <v>170</v>
      </c>
      <c r="Z80" s="44">
        <v>164</v>
      </c>
    </row>
    <row r="81" spans="2:26" ht="23.4" thickBot="1" x14ac:dyDescent="0.35">
      <c r="B81" s="29"/>
      <c r="C81" s="50"/>
      <c r="D81" s="41"/>
      <c r="E81" s="41"/>
      <c r="F81" s="41"/>
      <c r="G81" s="41"/>
      <c r="H81" s="41"/>
      <c r="I81" s="42"/>
      <c r="J81" s="42"/>
      <c r="K81" s="42"/>
      <c r="L81" s="42"/>
      <c r="M81" s="42"/>
      <c r="N81" s="42"/>
      <c r="O81" s="43"/>
      <c r="P81" s="43"/>
      <c r="Q81" s="43"/>
      <c r="R81" s="43"/>
      <c r="S81" s="43"/>
      <c r="T81" s="43"/>
      <c r="U81" s="44"/>
      <c r="V81" s="44"/>
      <c r="W81" s="44"/>
      <c r="X81" s="44"/>
      <c r="Y81" s="44"/>
      <c r="Z81" s="44"/>
    </row>
    <row r="82" spans="2:26" ht="15" thickBot="1" x14ac:dyDescent="0.35">
      <c r="B82" s="28" t="s">
        <v>18</v>
      </c>
      <c r="C82" s="51">
        <f>(C77/$C$6)*100</f>
        <v>43.83379394292087</v>
      </c>
      <c r="D82" s="52">
        <f t="shared" ref="D82:Z82" si="31">(D77/$C$6)*100</f>
        <v>45.643290667049499</v>
      </c>
      <c r="E82" s="52">
        <f t="shared" si="31"/>
        <v>48.973678054243805</v>
      </c>
      <c r="F82" s="52">
        <f t="shared" si="31"/>
        <v>49.77319112712167</v>
      </c>
      <c r="G82" s="52">
        <f t="shared" si="31"/>
        <v>50.020253322388129</v>
      </c>
      <c r="H82" s="52">
        <f t="shared" si="31"/>
        <v>50.237326899298196</v>
      </c>
      <c r="I82" s="53">
        <f t="shared" si="31"/>
        <v>43.93448967061299</v>
      </c>
      <c r="J82" s="53">
        <f t="shared" si="31"/>
        <v>45.893929486523596</v>
      </c>
      <c r="K82" s="53">
        <f t="shared" si="31"/>
        <v>50.579307198536725</v>
      </c>
      <c r="L82" s="53">
        <f t="shared" si="31"/>
        <v>52.925847803689997</v>
      </c>
      <c r="M82" s="53">
        <f t="shared" si="31"/>
        <v>53.93308020555024</v>
      </c>
      <c r="N82" s="53">
        <f t="shared" si="31"/>
        <v>54.843743753804119</v>
      </c>
      <c r="O82" s="54">
        <f t="shared" si="31"/>
        <v>43.935039920491093</v>
      </c>
      <c r="P82" s="54">
        <f t="shared" si="31"/>
        <v>45.915664356708511</v>
      </c>
      <c r="Q82" s="54">
        <f t="shared" si="31"/>
        <v>50.774645905261885</v>
      </c>
      <c r="R82" s="54">
        <f t="shared" si="31"/>
        <v>53.381454702755981</v>
      </c>
      <c r="S82" s="54">
        <f t="shared" si="31"/>
        <v>54.559264566826926</v>
      </c>
      <c r="T82" s="54">
        <f t="shared" si="31"/>
        <v>55.686176317173718</v>
      </c>
      <c r="U82" s="55">
        <f t="shared" si="31"/>
        <v>43.93586529530824</v>
      </c>
      <c r="V82" s="55">
        <f t="shared" si="31"/>
        <v>45.915939481647555</v>
      </c>
      <c r="W82" s="55">
        <f t="shared" si="31"/>
        <v>50.805459898435437</v>
      </c>
      <c r="X82" s="55">
        <f t="shared" si="31"/>
        <v>53.467018558800369</v>
      </c>
      <c r="Y82" s="55">
        <f t="shared" si="31"/>
        <v>54.701779285254574</v>
      </c>
      <c r="Z82" s="55">
        <f t="shared" si="31"/>
        <v>55.879038899447423</v>
      </c>
    </row>
    <row r="83" spans="2:26" ht="15" thickBot="1" x14ac:dyDescent="0.35">
      <c r="B83" s="28" t="s">
        <v>19</v>
      </c>
      <c r="C83" s="51">
        <f>C76/$C$7*100</f>
        <v>57.8578983894934</v>
      </c>
      <c r="D83" s="52">
        <f t="shared" ref="D83:Z83" si="32">D76/$C$7*100</f>
        <v>55.842146733825935</v>
      </c>
      <c r="E83" s="52">
        <f t="shared" si="32"/>
        <v>52.131713692629447</v>
      </c>
      <c r="F83" s="52">
        <f t="shared" si="32"/>
        <v>51.239190127172051</v>
      </c>
      <c r="G83" s="52">
        <f t="shared" si="32"/>
        <v>50.964467904093937</v>
      </c>
      <c r="H83" s="52">
        <f t="shared" si="32"/>
        <v>50.721852708029658</v>
      </c>
      <c r="I83" s="53">
        <f t="shared" si="32"/>
        <v>57.745523794944951</v>
      </c>
      <c r="J83" s="53">
        <f t="shared" si="32"/>
        <v>55.563022740915279</v>
      </c>
      <c r="K83" s="53">
        <f t="shared" si="32"/>
        <v>50.34278264715654</v>
      </c>
      <c r="L83" s="53">
        <f t="shared" si="32"/>
        <v>47.729167077174864</v>
      </c>
      <c r="M83" s="53">
        <f t="shared" si="32"/>
        <v>46.606974697513614</v>
      </c>
      <c r="N83" s="53">
        <f t="shared" si="32"/>
        <v>45.591978359656657</v>
      </c>
      <c r="O83" s="54">
        <f t="shared" si="32"/>
        <v>57.744488084396131</v>
      </c>
      <c r="P83" s="54">
        <f t="shared" si="32"/>
        <v>55.538942470654881</v>
      </c>
      <c r="Q83" s="54">
        <f t="shared" si="32"/>
        <v>50.128390563547974</v>
      </c>
      <c r="R83" s="54">
        <f t="shared" si="32"/>
        <v>47.221668908246386</v>
      </c>
      <c r="S83" s="54">
        <f t="shared" si="32"/>
        <v>45.90942364287416</v>
      </c>
      <c r="T83" s="54">
        <f t="shared" si="32"/>
        <v>44.653883530050585</v>
      </c>
      <c r="U83" s="55">
        <f t="shared" si="32"/>
        <v>52.565676412590733</v>
      </c>
      <c r="V83" s="55">
        <f t="shared" si="32"/>
        <v>55.538683543017683</v>
      </c>
      <c r="W83" s="55">
        <f t="shared" si="32"/>
        <v>50.091622839064385</v>
      </c>
      <c r="X83" s="55">
        <f t="shared" si="32"/>
        <v>47.126383537753682</v>
      </c>
      <c r="Y83" s="55">
        <f t="shared" si="32"/>
        <v>45.749924218353783</v>
      </c>
      <c r="Z83" s="55">
        <f t="shared" si="32"/>
        <v>44.439750374079232</v>
      </c>
    </row>
    <row r="84" spans="2:26" ht="15" thickBot="1" x14ac:dyDescent="0.35">
      <c r="B84" s="28" t="s">
        <v>20</v>
      </c>
      <c r="C84" s="51">
        <f>(($C$6-C75-C79)/$C$6)*100</f>
        <v>38.599817102443026</v>
      </c>
      <c r="D84" s="52">
        <f t="shared" ref="D84:Z84" si="33">(($C$6-D75-D79)/$C$6)*100</f>
        <v>38.578082232258112</v>
      </c>
      <c r="E84" s="52">
        <f t="shared" si="33"/>
        <v>38.539564740791178</v>
      </c>
      <c r="F84" s="52">
        <f t="shared" si="33"/>
        <v>38.53048561780254</v>
      </c>
      <c r="G84" s="52">
        <f t="shared" si="33"/>
        <v>38.527459243472997</v>
      </c>
      <c r="H84" s="52">
        <f t="shared" si="33"/>
        <v>38.524707994082505</v>
      </c>
      <c r="I84" s="53">
        <f t="shared" si="33"/>
        <v>38.59706585305252</v>
      </c>
      <c r="J84" s="53">
        <f t="shared" si="33"/>
        <v>38.575606107806657</v>
      </c>
      <c r="K84" s="53">
        <f t="shared" si="33"/>
        <v>38.520305995057704</v>
      </c>
      <c r="L84" s="53">
        <f t="shared" si="33"/>
        <v>38.493343751030864</v>
      </c>
      <c r="M84" s="53">
        <f t="shared" si="33"/>
        <v>38.482889003346976</v>
      </c>
      <c r="N84" s="53">
        <f t="shared" si="33"/>
        <v>38.471058630967846</v>
      </c>
      <c r="O84" s="54">
        <f t="shared" si="33"/>
        <v>38.597616102930623</v>
      </c>
      <c r="P84" s="54">
        <f t="shared" si="33"/>
        <v>38.575330982867619</v>
      </c>
      <c r="Q84" s="54">
        <f t="shared" si="33"/>
        <v>38.518380120484366</v>
      </c>
      <c r="R84" s="54">
        <f t="shared" si="33"/>
        <v>38.487841252249872</v>
      </c>
      <c r="S84" s="54">
        <f t="shared" si="33"/>
        <v>38.47408500529739</v>
      </c>
      <c r="T84" s="54">
        <f t="shared" si="33"/>
        <v>38.460603883283966</v>
      </c>
      <c r="U84" s="55">
        <f t="shared" si="33"/>
        <v>38.59844147774777</v>
      </c>
      <c r="V84" s="55">
        <f t="shared" si="33"/>
        <v>38.575606107806657</v>
      </c>
      <c r="W84" s="55">
        <f t="shared" si="33"/>
        <v>38.518380120484366</v>
      </c>
      <c r="X84" s="55">
        <f t="shared" si="33"/>
        <v>38.487015877432718</v>
      </c>
      <c r="Y84" s="55">
        <f t="shared" si="33"/>
        <v>38.472434255663103</v>
      </c>
      <c r="Z84" s="55">
        <f t="shared" si="33"/>
        <v>38.458127758832518</v>
      </c>
    </row>
    <row r="85" spans="2:26" ht="15" thickBot="1" x14ac:dyDescent="0.35">
      <c r="B85" s="28" t="s">
        <v>21</v>
      </c>
      <c r="C85" s="51">
        <f>(C75/$C$6)*100</f>
        <v>56.16620605707913</v>
      </c>
      <c r="D85" s="52">
        <f t="shared" ref="D85:Z85" si="34">(D75/$C$6)*100</f>
        <v>54.356709332950501</v>
      </c>
      <c r="E85" s="52">
        <f t="shared" si="34"/>
        <v>51.026321945756202</v>
      </c>
      <c r="F85" s="52">
        <f t="shared" si="34"/>
        <v>50.226808872878323</v>
      </c>
      <c r="G85" s="52">
        <f t="shared" si="34"/>
        <v>49.979746677611878</v>
      </c>
      <c r="H85" s="52">
        <f t="shared" si="34"/>
        <v>49.762673100701804</v>
      </c>
      <c r="I85" s="53">
        <f t="shared" si="34"/>
        <v>56.065510329387003</v>
      </c>
      <c r="J85" s="53">
        <f t="shared" si="34"/>
        <v>54.106070513476404</v>
      </c>
      <c r="K85" s="53">
        <f t="shared" si="34"/>
        <v>49.420692801463268</v>
      </c>
      <c r="L85" s="53">
        <f t="shared" si="34"/>
        <v>47.074152196310003</v>
      </c>
      <c r="M85" s="53">
        <f t="shared" si="34"/>
        <v>46.06691979444976</v>
      </c>
      <c r="N85" s="53">
        <f t="shared" si="34"/>
        <v>45.156256246195881</v>
      </c>
      <c r="O85" s="54">
        <f t="shared" si="34"/>
        <v>56.064960079508907</v>
      </c>
      <c r="P85" s="54">
        <f t="shared" si="34"/>
        <v>54.084335643291496</v>
      </c>
      <c r="Q85" s="54">
        <f t="shared" si="34"/>
        <v>49.225354094738115</v>
      </c>
      <c r="R85" s="54">
        <f t="shared" si="34"/>
        <v>46.618545297244026</v>
      </c>
      <c r="S85" s="54">
        <f t="shared" si="34"/>
        <v>45.440735433173082</v>
      </c>
      <c r="T85" s="54">
        <f t="shared" si="34"/>
        <v>44.313823682826289</v>
      </c>
      <c r="U85" s="55">
        <f t="shared" si="34"/>
        <v>56.06413470469176</v>
      </c>
      <c r="V85" s="55">
        <f t="shared" si="34"/>
        <v>54.084060518352437</v>
      </c>
      <c r="W85" s="55">
        <f t="shared" si="34"/>
        <v>49.19454010156457</v>
      </c>
      <c r="X85" s="55">
        <f t="shared" si="34"/>
        <v>46.532981441199631</v>
      </c>
      <c r="Y85" s="55">
        <f t="shared" si="34"/>
        <v>45.298220714745426</v>
      </c>
      <c r="Z85" s="55">
        <f t="shared" si="34"/>
        <v>44.120961100552577</v>
      </c>
    </row>
    <row r="86" spans="2:26" ht="15" thickBot="1" x14ac:dyDescent="0.35">
      <c r="B86" s="28" t="s">
        <v>22</v>
      </c>
      <c r="C86" s="51">
        <f>(C79/$C$6)*100</f>
        <v>5.2339768404778564</v>
      </c>
      <c r="D86" s="52">
        <f t="shared" ref="D86:Z86" si="35">(D79/$C$6)*100</f>
        <v>7.065208434791387</v>
      </c>
      <c r="E86" s="52">
        <f t="shared" si="35"/>
        <v>10.434113313452622</v>
      </c>
      <c r="F86" s="52">
        <f t="shared" si="35"/>
        <v>11.242705509319128</v>
      </c>
      <c r="G86" s="52">
        <f t="shared" si="35"/>
        <v>11.492794078915132</v>
      </c>
      <c r="H86" s="52">
        <f t="shared" si="35"/>
        <v>11.71261890521569</v>
      </c>
      <c r="I86" s="53">
        <f t="shared" si="35"/>
        <v>5.3374238175604711</v>
      </c>
      <c r="J86" s="53">
        <f t="shared" si="35"/>
        <v>7.3183233787169346</v>
      </c>
      <c r="K86" s="53">
        <f t="shared" si="35"/>
        <v>12.059001203479022</v>
      </c>
      <c r="L86" s="53">
        <f t="shared" si="35"/>
        <v>14.432504052659134</v>
      </c>
      <c r="M86" s="53">
        <f t="shared" si="35"/>
        <v>15.450191202203268</v>
      </c>
      <c r="N86" s="53">
        <f t="shared" si="35"/>
        <v>16.37268512283627</v>
      </c>
      <c r="O86" s="54">
        <f t="shared" si="35"/>
        <v>5.3374238175604711</v>
      </c>
      <c r="P86" s="54">
        <f t="shared" si="35"/>
        <v>7.3403333738408945</v>
      </c>
      <c r="Q86" s="54">
        <f t="shared" si="35"/>
        <v>12.256265784777518</v>
      </c>
      <c r="R86" s="54">
        <f t="shared" si="35"/>
        <v>14.893613450506111</v>
      </c>
      <c r="S86" s="54">
        <f t="shared" si="35"/>
        <v>16.085179561529532</v>
      </c>
      <c r="T86" s="54">
        <f t="shared" si="35"/>
        <v>17.225572433889745</v>
      </c>
      <c r="U86" s="55">
        <f t="shared" si="35"/>
        <v>5.3374238175604711</v>
      </c>
      <c r="V86" s="55">
        <f t="shared" si="35"/>
        <v>7.3403333738408945</v>
      </c>
      <c r="W86" s="55">
        <f t="shared" si="35"/>
        <v>12.287079777951064</v>
      </c>
      <c r="X86" s="55">
        <f t="shared" si="35"/>
        <v>14.980002681367658</v>
      </c>
      <c r="Y86" s="55">
        <f t="shared" si="35"/>
        <v>16.229345029591475</v>
      </c>
      <c r="Z86" s="55">
        <f t="shared" si="35"/>
        <v>17.420911140614898</v>
      </c>
    </row>
    <row r="87" spans="2:26" ht="23.4" thickBot="1" x14ac:dyDescent="0.35">
      <c r="B87" s="29"/>
      <c r="C87" s="50"/>
      <c r="D87" s="41"/>
      <c r="E87" s="41"/>
      <c r="F87" s="41"/>
      <c r="G87" s="41"/>
      <c r="H87" s="41"/>
      <c r="I87" s="42"/>
      <c r="J87" s="42"/>
      <c r="K87" s="42"/>
      <c r="L87" s="42"/>
      <c r="M87" s="42"/>
      <c r="N87" s="42"/>
      <c r="O87" s="43"/>
      <c r="P87" s="43"/>
      <c r="Q87" s="43"/>
      <c r="R87" s="43"/>
      <c r="S87" s="43"/>
      <c r="T87" s="43"/>
      <c r="U87" s="44"/>
      <c r="V87" s="44"/>
      <c r="W87" s="44"/>
      <c r="X87" s="44"/>
      <c r="Y87" s="44"/>
      <c r="Z87" s="44"/>
    </row>
    <row r="88" spans="2:26" ht="15" thickBot="1" x14ac:dyDescent="0.35">
      <c r="B88" s="28" t="s">
        <v>8</v>
      </c>
      <c r="C88" s="50"/>
      <c r="D88" s="41"/>
      <c r="E88" s="41"/>
      <c r="F88" s="41"/>
      <c r="G88" s="41"/>
      <c r="H88" s="41"/>
      <c r="I88" s="42"/>
      <c r="J88" s="42"/>
      <c r="K88" s="42"/>
      <c r="L88" s="42"/>
      <c r="M88" s="42"/>
      <c r="N88" s="42"/>
      <c r="O88" s="43"/>
      <c r="P88" s="43"/>
      <c r="Q88" s="43"/>
      <c r="R88" s="43"/>
      <c r="S88" s="43"/>
      <c r="T88" s="43"/>
      <c r="U88" s="44"/>
      <c r="V88" s="44"/>
      <c r="W88" s="44"/>
      <c r="X88" s="44"/>
      <c r="Y88" s="44"/>
      <c r="Z88" s="44"/>
    </row>
    <row r="89" spans="2:26" ht="15" thickBot="1" x14ac:dyDescent="0.35">
      <c r="B89" s="28" t="s">
        <v>9</v>
      </c>
      <c r="C89" s="50"/>
      <c r="D89" s="41"/>
      <c r="E89" s="41"/>
      <c r="F89" s="41"/>
      <c r="G89" s="41"/>
      <c r="H89" s="41"/>
      <c r="I89" s="42"/>
      <c r="J89" s="42"/>
      <c r="K89" s="42"/>
      <c r="L89" s="42"/>
      <c r="M89" s="42"/>
      <c r="N89" s="42"/>
      <c r="O89" s="43"/>
      <c r="P89" s="43"/>
      <c r="Q89" s="43"/>
      <c r="R89" s="43"/>
      <c r="S89" s="43"/>
      <c r="T89" s="43"/>
      <c r="U89" s="44"/>
      <c r="V89" s="44"/>
      <c r="W89" s="44"/>
      <c r="X89" s="44"/>
      <c r="Y89" s="44"/>
      <c r="Z89" s="44"/>
    </row>
    <row r="90" spans="2:26" ht="23.4" thickBot="1" x14ac:dyDescent="0.35">
      <c r="B90" s="29"/>
      <c r="C90" s="50"/>
      <c r="D90" s="41"/>
      <c r="E90" s="41"/>
      <c r="F90" s="41"/>
      <c r="G90" s="41"/>
      <c r="H90" s="41"/>
      <c r="I90" s="42"/>
      <c r="J90" s="42"/>
      <c r="K90" s="42"/>
      <c r="L90" s="42"/>
      <c r="M90" s="42"/>
      <c r="N90" s="42"/>
      <c r="O90" s="43"/>
      <c r="P90" s="43"/>
      <c r="Q90" s="43"/>
      <c r="R90" s="43"/>
      <c r="S90" s="43"/>
      <c r="T90" s="43"/>
      <c r="U90" s="44"/>
      <c r="V90" s="44"/>
      <c r="W90" s="44"/>
      <c r="X90" s="44"/>
      <c r="Y90" s="44"/>
      <c r="Z90" s="44"/>
    </row>
    <row r="91" spans="2:26" ht="15" thickBot="1" x14ac:dyDescent="0.35">
      <c r="B91" s="28" t="s">
        <v>10</v>
      </c>
      <c r="C91" s="50"/>
      <c r="D91" s="41"/>
      <c r="E91" s="41"/>
      <c r="F91" s="41"/>
      <c r="G91" s="41"/>
      <c r="H91" s="41"/>
      <c r="I91" s="42"/>
      <c r="J91" s="42"/>
      <c r="K91" s="42"/>
      <c r="L91" s="42"/>
      <c r="M91" s="42"/>
      <c r="N91" s="42"/>
      <c r="O91" s="43"/>
      <c r="P91" s="43"/>
      <c r="Q91" s="43"/>
      <c r="R91" s="43"/>
      <c r="S91" s="43"/>
      <c r="T91" s="43"/>
      <c r="U91" s="44"/>
      <c r="V91" s="44"/>
      <c r="W91" s="44"/>
      <c r="X91" s="44"/>
      <c r="Y91" s="44"/>
      <c r="Z91" s="44"/>
    </row>
    <row r="92" spans="2:26" ht="15" thickBot="1" x14ac:dyDescent="0.35">
      <c r="B92" s="28" t="s">
        <v>11</v>
      </c>
      <c r="C92" s="50"/>
      <c r="D92" s="41"/>
      <c r="E92" s="41"/>
      <c r="F92" s="41"/>
      <c r="G92" s="41"/>
      <c r="H92" s="41"/>
      <c r="I92" s="42"/>
      <c r="J92" s="42"/>
      <c r="K92" s="42"/>
      <c r="L92" s="42"/>
      <c r="M92" s="42"/>
      <c r="N92" s="42"/>
      <c r="O92" s="43"/>
      <c r="P92" s="43"/>
      <c r="Q92" s="43"/>
      <c r="R92" s="43"/>
      <c r="S92" s="43"/>
      <c r="T92" s="43"/>
      <c r="U92" s="44"/>
      <c r="V92" s="44"/>
      <c r="W92" s="44"/>
      <c r="X92" s="44"/>
      <c r="Y92" s="44"/>
      <c r="Z92" s="44"/>
    </row>
    <row r="93" spans="2:26" ht="23.4" thickBot="1" x14ac:dyDescent="0.35">
      <c r="B93" s="29"/>
      <c r="C93" s="50"/>
      <c r="D93" s="41"/>
      <c r="E93" s="41"/>
      <c r="F93" s="41"/>
      <c r="G93" s="41"/>
      <c r="H93" s="41"/>
      <c r="I93" s="42"/>
      <c r="J93" s="42"/>
      <c r="K93" s="42"/>
      <c r="L93" s="42"/>
      <c r="M93" s="42"/>
      <c r="N93" s="42"/>
      <c r="O93" s="43"/>
      <c r="P93" s="43"/>
      <c r="Q93" s="43"/>
      <c r="R93" s="43"/>
      <c r="S93" s="43"/>
      <c r="T93" s="43"/>
      <c r="U93" s="44"/>
      <c r="V93" s="44"/>
      <c r="W93" s="44"/>
      <c r="X93" s="44"/>
      <c r="Y93" s="44"/>
      <c r="Z93" s="44"/>
    </row>
    <row r="94" spans="2:26" ht="23.4" thickBot="1" x14ac:dyDescent="0.35">
      <c r="B94" s="29"/>
      <c r="C94" s="50"/>
      <c r="D94" s="41"/>
      <c r="E94" s="41"/>
      <c r="F94" s="41"/>
      <c r="G94" s="41"/>
      <c r="H94" s="41"/>
      <c r="I94" s="42"/>
      <c r="J94" s="42"/>
      <c r="K94" s="42"/>
      <c r="L94" s="42"/>
      <c r="M94" s="42"/>
      <c r="N94" s="42"/>
      <c r="O94" s="43"/>
      <c r="P94" s="43"/>
      <c r="Q94" s="43"/>
      <c r="R94" s="43"/>
      <c r="S94" s="43"/>
      <c r="T94" s="43"/>
      <c r="U94" s="44"/>
      <c r="V94" s="44"/>
      <c r="W94" s="44"/>
      <c r="X94" s="44"/>
      <c r="Y94" s="44"/>
      <c r="Z94" s="44"/>
    </row>
    <row r="95" spans="2:26" ht="15" thickBot="1" x14ac:dyDescent="0.35">
      <c r="B95" s="30" t="s">
        <v>12</v>
      </c>
      <c r="C95" s="56"/>
      <c r="D95" s="41"/>
      <c r="E95" s="41"/>
      <c r="F95" s="41"/>
      <c r="G95" s="41"/>
      <c r="H95" s="41"/>
      <c r="I95" s="42"/>
      <c r="J95" s="42"/>
      <c r="K95" s="42"/>
      <c r="L95" s="42"/>
      <c r="M95" s="42"/>
      <c r="N95" s="42"/>
      <c r="O95" s="43"/>
      <c r="P95" s="43"/>
      <c r="Q95" s="43"/>
      <c r="R95" s="43"/>
      <c r="S95" s="43"/>
      <c r="T95" s="43"/>
      <c r="U95" s="44"/>
      <c r="V95" s="44"/>
      <c r="W95" s="44"/>
      <c r="X95" s="44"/>
      <c r="Y95" s="44"/>
      <c r="Z95" s="4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8CA1-F3F6-40F9-B13F-5CB5D929D6CE}">
  <dimension ref="B1:H14"/>
  <sheetViews>
    <sheetView workbookViewId="0">
      <selection activeCell="B2" sqref="B2:H14"/>
    </sheetView>
  </sheetViews>
  <sheetFormatPr defaultRowHeight="14.4" x14ac:dyDescent="0.3"/>
  <sheetData>
    <row r="1" spans="2:8" ht="15" thickBot="1" x14ac:dyDescent="0.35"/>
    <row r="2" spans="2:8" ht="15" thickBot="1" x14ac:dyDescent="0.35">
      <c r="B2" s="63"/>
      <c r="C2" s="64"/>
      <c r="D2" s="57" t="s">
        <v>17</v>
      </c>
      <c r="E2" s="58"/>
      <c r="F2" s="58"/>
      <c r="G2" s="58"/>
      <c r="H2" s="59"/>
    </row>
    <row r="3" spans="2:8" ht="15" thickBot="1" x14ac:dyDescent="0.35">
      <c r="B3" s="65"/>
      <c r="C3" s="66"/>
      <c r="D3" s="7">
        <v>2</v>
      </c>
      <c r="E3" s="9">
        <v>4</v>
      </c>
      <c r="F3" s="9">
        <v>6</v>
      </c>
      <c r="G3" s="9">
        <v>8</v>
      </c>
      <c r="H3" s="3">
        <v>10</v>
      </c>
    </row>
    <row r="4" spans="2:8" x14ac:dyDescent="0.3">
      <c r="B4" s="60" t="s">
        <v>16</v>
      </c>
      <c r="C4" s="4">
        <v>4</v>
      </c>
      <c r="D4" s="10">
        <f t="shared" ref="D4:D14" si="0">C4/$D$3</f>
        <v>2</v>
      </c>
      <c r="E4" s="10">
        <f>$C$4/E3</f>
        <v>1</v>
      </c>
      <c r="F4" s="10">
        <f>$C$4/F3</f>
        <v>0.66666666666666663</v>
      </c>
      <c r="G4" s="10">
        <f>$C$4/G3</f>
        <v>0.5</v>
      </c>
      <c r="H4" s="11">
        <f>$C$4/H3</f>
        <v>0.4</v>
      </c>
    </row>
    <row r="5" spans="2:8" x14ac:dyDescent="0.3">
      <c r="B5" s="61"/>
      <c r="C5" s="16">
        <v>8</v>
      </c>
      <c r="D5" s="10">
        <f t="shared" si="0"/>
        <v>4</v>
      </c>
      <c r="E5" s="10">
        <f>$C$5/E3</f>
        <v>2</v>
      </c>
      <c r="F5" s="10">
        <f>$C$5/F3</f>
        <v>1.3333333333333333</v>
      </c>
      <c r="G5" s="10">
        <f>$C$5/G3</f>
        <v>1</v>
      </c>
      <c r="H5" s="11">
        <f>$C$5/H3</f>
        <v>0.8</v>
      </c>
    </row>
    <row r="6" spans="2:8" x14ac:dyDescent="0.3">
      <c r="B6" s="61"/>
      <c r="C6" s="16">
        <v>12</v>
      </c>
      <c r="D6" s="12">
        <f t="shared" si="0"/>
        <v>6</v>
      </c>
      <c r="E6" s="10">
        <f t="shared" ref="E6:E14" si="1">C6/$E$3</f>
        <v>3</v>
      </c>
      <c r="F6" s="10">
        <f>$C$6/F3</f>
        <v>2</v>
      </c>
      <c r="G6" s="10">
        <f>$C$6/G3</f>
        <v>1.5</v>
      </c>
      <c r="H6" s="11">
        <f>$C$6/H3</f>
        <v>1.2</v>
      </c>
    </row>
    <row r="7" spans="2:8" x14ac:dyDescent="0.3">
      <c r="B7" s="61"/>
      <c r="C7" s="16">
        <v>16</v>
      </c>
      <c r="D7" s="10">
        <f t="shared" si="0"/>
        <v>8</v>
      </c>
      <c r="E7" s="10">
        <f t="shared" si="1"/>
        <v>4</v>
      </c>
      <c r="F7" s="10">
        <f t="shared" ref="F7:F14" si="2">C7/$F$3</f>
        <v>2.6666666666666665</v>
      </c>
      <c r="G7" s="10">
        <f>$C$7/G3</f>
        <v>2</v>
      </c>
      <c r="H7" s="11">
        <f>$C$7/H3</f>
        <v>1.6</v>
      </c>
    </row>
    <row r="8" spans="2:8" x14ac:dyDescent="0.3">
      <c r="B8" s="61"/>
      <c r="C8" s="16">
        <v>20</v>
      </c>
      <c r="D8" s="10">
        <f t="shared" si="0"/>
        <v>10</v>
      </c>
      <c r="E8" s="10">
        <f t="shared" si="1"/>
        <v>5</v>
      </c>
      <c r="F8" s="10">
        <f t="shared" si="2"/>
        <v>3.3333333333333335</v>
      </c>
      <c r="G8" s="10">
        <f t="shared" ref="G8:G14" si="3">C8/$G$3</f>
        <v>2.5</v>
      </c>
      <c r="H8" s="11">
        <f t="shared" ref="H8:H14" si="4">C8/$H$3</f>
        <v>2</v>
      </c>
    </row>
    <row r="9" spans="2:8" x14ac:dyDescent="0.3">
      <c r="B9" s="61"/>
      <c r="C9" s="16">
        <v>24</v>
      </c>
      <c r="D9" s="10">
        <f t="shared" si="0"/>
        <v>12</v>
      </c>
      <c r="E9" s="12">
        <f t="shared" si="1"/>
        <v>6</v>
      </c>
      <c r="F9" s="10">
        <f t="shared" si="2"/>
        <v>4</v>
      </c>
      <c r="G9" s="10">
        <f t="shared" si="3"/>
        <v>3</v>
      </c>
      <c r="H9" s="11">
        <f t="shared" si="4"/>
        <v>2.4</v>
      </c>
    </row>
    <row r="10" spans="2:8" x14ac:dyDescent="0.3">
      <c r="B10" s="61"/>
      <c r="C10" s="16">
        <v>28</v>
      </c>
      <c r="D10" s="10">
        <f t="shared" si="0"/>
        <v>14</v>
      </c>
      <c r="E10" s="10">
        <f t="shared" si="1"/>
        <v>7</v>
      </c>
      <c r="F10" s="10">
        <f t="shared" si="2"/>
        <v>4.666666666666667</v>
      </c>
      <c r="G10" s="10">
        <f t="shared" si="3"/>
        <v>3.5</v>
      </c>
      <c r="H10" s="11">
        <f t="shared" si="4"/>
        <v>2.8</v>
      </c>
    </row>
    <row r="11" spans="2:8" x14ac:dyDescent="0.3">
      <c r="B11" s="61"/>
      <c r="C11" s="16">
        <v>32</v>
      </c>
      <c r="D11" s="10">
        <f t="shared" si="0"/>
        <v>16</v>
      </c>
      <c r="E11" s="10">
        <f t="shared" si="1"/>
        <v>8</v>
      </c>
      <c r="F11" s="12">
        <f t="shared" si="2"/>
        <v>5.333333333333333</v>
      </c>
      <c r="G11" s="12">
        <f t="shared" si="3"/>
        <v>4</v>
      </c>
      <c r="H11" s="11">
        <f t="shared" si="4"/>
        <v>3.2</v>
      </c>
    </row>
    <row r="12" spans="2:8" x14ac:dyDescent="0.3">
      <c r="B12" s="61"/>
      <c r="C12" s="16">
        <v>36</v>
      </c>
      <c r="D12" s="10">
        <f t="shared" si="0"/>
        <v>18</v>
      </c>
      <c r="E12" s="10">
        <f t="shared" si="1"/>
        <v>9</v>
      </c>
      <c r="F12" s="12">
        <f t="shared" si="2"/>
        <v>6</v>
      </c>
      <c r="G12" s="12">
        <f t="shared" si="3"/>
        <v>4.5</v>
      </c>
      <c r="H12" s="11">
        <f t="shared" si="4"/>
        <v>3.6</v>
      </c>
    </row>
    <row r="13" spans="2:8" x14ac:dyDescent="0.3">
      <c r="B13" s="61"/>
      <c r="C13" s="16">
        <v>38</v>
      </c>
      <c r="D13" s="10">
        <f t="shared" si="0"/>
        <v>19</v>
      </c>
      <c r="E13" s="10">
        <f t="shared" si="1"/>
        <v>9.5</v>
      </c>
      <c r="F13" s="10">
        <f t="shared" si="2"/>
        <v>6.333333333333333</v>
      </c>
      <c r="G13" s="10">
        <f t="shared" si="3"/>
        <v>4.75</v>
      </c>
      <c r="H13" s="11">
        <f t="shared" si="4"/>
        <v>3.8</v>
      </c>
    </row>
    <row r="14" spans="2:8" ht="15" thickBot="1" x14ac:dyDescent="0.35">
      <c r="B14" s="62"/>
      <c r="C14" s="17">
        <v>40</v>
      </c>
      <c r="D14" s="13">
        <f t="shared" si="0"/>
        <v>20</v>
      </c>
      <c r="E14" s="13">
        <f t="shared" si="1"/>
        <v>10</v>
      </c>
      <c r="F14" s="14">
        <f t="shared" si="2"/>
        <v>6.666666666666667</v>
      </c>
      <c r="G14" s="14">
        <f t="shared" si="3"/>
        <v>5</v>
      </c>
      <c r="H14" s="15">
        <f t="shared" si="4"/>
        <v>4</v>
      </c>
    </row>
  </sheetData>
  <mergeCells count="3">
    <mergeCell ref="D2:H2"/>
    <mergeCell ref="B4:B14"/>
    <mergeCell ref="B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Nicolò</dc:creator>
  <cp:lastModifiedBy>Marco Di Niro</cp:lastModifiedBy>
  <dcterms:created xsi:type="dcterms:W3CDTF">2025-10-02T13:45:38Z</dcterms:created>
  <dcterms:modified xsi:type="dcterms:W3CDTF">2025-10-03T10:40:27Z</dcterms:modified>
</cp:coreProperties>
</file>